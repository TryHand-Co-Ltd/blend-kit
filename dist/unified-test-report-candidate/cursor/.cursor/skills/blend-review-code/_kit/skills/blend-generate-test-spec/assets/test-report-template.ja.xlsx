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docProps/custom.xml" ContentType="application/vnd.openxmlformats-officedocument.custom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8033f2d6e83c4e74" /><ns0:Relationship Id="rIdReportProperties" Type="http://schemas.openxmlformats.org/officeDocument/2006/relationships/custom-properties" Target="docProps/custom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933fbd8c17704f62"/>
    <x:sheet xmlns:r="http://schemas.openxmlformats.org/officeDocument/2006/relationships" name="テスト" sheetId="2" r:id="Rccfc58469aa2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sz val="11"/>
      <x:color rgb="FF172033"/>
      <x:name val="Yu Gothic"/>
    </x:font>
    <x:font>
      <x:b/>
      <x:sz val="15"/>
      <x:color rgb="FF172033"/>
      <x:name val="Yu Gothic"/>
    </x:font>
    <x:font>
      <x:b/>
      <x:sz val="11"/>
      <x:color rgb="FF172033"/>
      <x:name val="Yu Gothic"/>
    </x:font>
    <x:font>
      <x:b/>
      <x:sz val="11"/>
      <x:color rgb="FFFFFFFF"/>
      <x:name val="Yu Gothic"/>
    </x:font>
    <x:font>
      <x:sz val="11"/>
      <x:color rgb="FF475569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200" fontId="1" fillId="4" borderId="0" xfId="0" applyNumberFormat="1" applyFont="1" applyFill="1" applyBorder="1" applyAlignment="1">
      <x:alignment horizontal="left" vertical="top" wrapText="1"/>
    </x:xf>
    <x:xf numFmtId="201" fontId="1" fillId="4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51ff538eb4889" /><Relationship Type="http://schemas.openxmlformats.org/officeDocument/2006/relationships/theme" Target="/xl/theme/theme1.xml" Id="Re2c463c1bef8446c" /><Relationship Type="http://schemas.openxmlformats.org/officeDocument/2006/relationships/sharedStrings" Target="/xl/sharedStrings.xml" Id="Rde8b1aba1558438e" /><Relationship Type="http://schemas.openxmlformats.org/officeDocument/2006/relationships/worksheet" Target="/xl/worksheets/sheet1.xml" Id="R933fbd8c17704f62" /><Relationship Type="http://schemas.openxmlformats.org/officeDocument/2006/relationships/worksheet" Target="/xl/worksheets/sheet2.xml" Id="Rccfc58469aa24a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10" hidden="0" customWidth="1"/>
  </x:cols>
  <x:sheetData>
    <x:row r="1" ht="32" customHeight="1">
      <x:c r="A1" s="4" t="str">
        <x:v>テスト結果報告書</x:v>
      </x:c>
      <x:c r="B1" s="3"/>
    </x:row>
    <x:row r="2" ht="12" customHeight="1">
      <x:c r="A2" s="3"/>
      <x:c r="B2" s="3"/>
    </x:row>
    <x:row r="3" ht="32" customHeight="1">
      <x:c r="A3" s="13" t="str">
        <x:v>実行ID、アプリケーション版、環境、実施者、実施日時を入力します。</x:v>
      </x:c>
      <x:c r="B3" s="3"/>
    </x:row>
    <x:row r="4" ht="32" customHeight="1">
      <x:c r="A4" s="5" t="str">
        <x:v>機能</x:v>
      </x:c>
      <x:c r="B4" s="3"/>
    </x:row>
    <x:row r="5" ht="32" customHeight="1">
      <x:c r="A5" s="5" t="str">
        <x:v>テスト設計版</x:v>
      </x:c>
      <x:c r="B5" s="3"/>
    </x:row>
    <x:row r="6" ht="32" customHeight="1">
      <x:c r="A6" s="5" t="str">
        <x:v>テスト実行ID</x:v>
      </x:c>
      <x:c r="B6" s="6"/>
    </x:row>
    <x:row r="7" ht="32" customHeight="1">
      <x:c r="A7" s="5" t="str">
        <x:v>アプリケーション版</x:v>
      </x:c>
      <x:c r="B7" s="6"/>
    </x:row>
    <x:row r="8" ht="32" customHeight="1">
      <x:c r="A8" s="5" t="str">
        <x:v>環境</x:v>
      </x:c>
      <x:c r="B8" s="6"/>
    </x:row>
    <x:row r="9" ht="32" customHeight="1">
      <x:c r="A9" s="5" t="str">
        <x:v>実施者</x:v>
      </x:c>
      <x:c r="B9" s="6"/>
    </x:row>
    <x:row r="10" ht="32" customHeight="1">
      <x:c r="A10" s="5" t="str">
        <x:v>実施日時（タイムゾーン付き）</x:v>
      </x:c>
      <x:c r="B10" s="6"/>
    </x:row>
    <x:row r="11" ht="32" customHeight="1">
      <x:c r="A11" s="5" t="str">
        <x:v>対象範囲</x:v>
      </x:c>
      <x:c r="B11" s="3"/>
    </x:row>
    <x:row r="12" ht="32" customHeight="1">
      <x:c r="A12" s="5" t="str">
        <x:v>対象外</x:v>
      </x:c>
      <x:c r="B12" s="3"/>
    </x:row>
    <x:row r="13" ht="32" customHeight="1">
      <x:c r="A13" s="5" t="str">
        <x:v>制限事項</x:v>
      </x:c>
      <x:c r="B13" s="3"/>
    </x:row>
    <x:row r="14" ht="32" customHeight="1">
      <x:c r="A14" s="3"/>
      <x:c r="B14" s="3"/>
    </x:row>
    <x:row r="15" ht="32" customHeight="1">
      <x:c r="A15" s="8" t="str">
        <x:v>進捗と結果</x:v>
      </x:c>
      <x:c r="B15" s="8"/>
    </x:row>
    <x:row r="16" ht="32" customHeight="1">
      <x:c r="A16" s="3" t="str">
        <x:v>ケース数</x:v>
      </x:c>
      <x:c r="B16" s="11" t="n">
        <x:f>COUNTA(A30:A30)</x:f>
        <x:v>0</x:v>
      </x:c>
    </x:row>
    <x:row r="17" ht="32" customHeight="1">
      <x:c r="A17" s="3" t="str">
        <x:v>バリエーション数</x:v>
      </x:c>
      <x:c r="B17" s="11" t="n">
        <x:f>COUNTA('テスト'!$A$5:$A$5)</x:f>
        <x:v>0</x:v>
      </x:c>
    </x:row>
    <x:row r="18" ht="32" customHeight="1">
      <x:c r="A18" s="3" t="str">
        <x:v>合格記録数</x:v>
      </x:c>
      <x:c r="B18" s="11" t="n">
        <x:f>0</x:f>
        <x:v>0</x:v>
      </x:c>
    </x:row>
    <x:row r="19" ht="32" customHeight="1">
      <x:c r="A19" s="3" t="str">
        <x:v>不合格記録数</x:v>
      </x:c>
      <x:c r="B19" s="11" t="n">
        <x:f>0</x:f>
        <x:v>0</x:v>
      </x:c>
    </x:row>
    <x:row r="20" ht="32" customHeight="1">
      <x:c r="A20" s="3" t="str">
        <x:v>実行不可数</x:v>
      </x:c>
      <x:c r="B20" s="11" t="n">
        <x:f>SUM(COUNTIFS('テスト'!$F$5:$F$5,"実行不可"))</x:f>
        <x:v>0</x:v>
      </x:c>
    </x:row>
    <x:row r="21" ht="32" customHeight="1">
      <x:c r="A21" s="3" t="str">
        <x:v>実行省略数</x:v>
      </x:c>
      <x:c r="B21" s="11" t="n">
        <x:f>SUM(COUNTIFS('テスト'!$F$5:$F$5,"実行省略"))</x:f>
        <x:v>0</x:v>
      </x:c>
    </x:row>
    <x:row r="22" ht="32" customHeight="1">
      <x:c r="A22" s="3" t="str">
        <x:v>未実行数</x:v>
      </x:c>
      <x:c r="B22" s="11" t="n">
        <x:f>SUM(COUNTIFS('テスト'!$F$5:$F$5,"未実行"))</x:f>
        <x:v>0</x:v>
      </x:c>
    </x:row>
    <x:row r="23" ht="32" customHeight="1">
      <x:c r="A23" s="3" t="str">
        <x:v>結果・証拠の記入済数</x:v>
      </x:c>
      <x:c r="B23" s="11" t="n">
        <x:f>B18+B19</x:f>
        <x:v>0</x:v>
      </x:c>
    </x:row>
    <x:row r="24" ht="32" customHeight="1">
      <x:c r="A24" s="3" t="str">
        <x:v>合格記録数 / 判定記入済数</x:v>
      </x:c>
      <x:c r="B24" s="12" t="str">
        <x:f>IF(B23=0,"データなし",B18/B23)</x:f>
        <x:v>データなし</x:v>
      </x:c>
    </x:row>
    <x:row r="25" ht="32" customHeight="1">
      <x:c r="A25" s="3" t="str">
        <x:v>判定記入済数 / 全バリエーション数</x:v>
      </x:c>
      <x:c r="B25" s="12" t="str">
        <x:f>IF(B17=0,"データなし",B23/B17)</x:f>
        <x:v>データなし</x:v>
      </x:c>
    </x:row>
    <x:row r="26" ht="32" customHeight="1">
      <x:c r="A26" s="3" t="str">
        <x:v>合格未確認数</x:v>
      </x:c>
      <x:c r="B26" s="11" t="n">
        <x:f>B17-B18</x:f>
        <x:v>0</x:v>
      </x:c>
    </x:row>
    <x:row r="27" ht="32" customHeight="1">
      <x:c r="A27" s="3" t="str">
        <x:v>無効な状態数</x:v>
      </x:c>
      <x:c r="B27" s="11" t="n">
        <x:f>B17-SUM(COUNTIFS('テスト'!$F$5:$F$5,"合格"),COUNTIFS('テスト'!$F$5:$F$5,"不合格"),COUNTIFS('テスト'!$F$5:$F$5,"実行不可"),COUNTIFS('テスト'!$F$5:$F$5,"実行省略"),COUNTIFS('テスト'!$F$5:$F$5,"未実行"))</x:f>
        <x:v>0</x:v>
      </x:c>
    </x:row>
    <x:row r="28" ht="32" customHeight="1">
      <x:c r="A28" s="3"/>
      <x:c r="B28" s="3"/>
    </x:row>
    <x:row r="29" ht="32" customHeight="1">
      <x:c r="A29" s="8" t="str">
        <x:v>テストケース</x:v>
      </x:c>
      <x:c r="B29" s="8" t="str">
        <x:v>状態</x:v>
      </x:c>
    </x:row>
    <x:row r="30" ht="32" customHeight="1">
      <x:c r="A30" s="3"/>
      <x:c r="B30" s="3"/>
    </x:row>
  </x:sheetData>
  <x:mergeCells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32" hidden="0" customWidth="1"/>
    <x:col min="4" max="4" width="32" hidden="0" customWidth="1"/>
    <x:col min="5" max="5" width="32" hidden="0" customWidth="1"/>
    <x:col min="6" max="6" width="17" hidden="0" customWidth="1"/>
    <x:col min="7" max="7" width="28" hidden="0" customWidth="1"/>
  </x:cols>
  <x:sheetData>
    <x:row r="1" ht="32" customHeight="1">
      <x:c r="A1" s="4" t="str">
        <x:v>テスト</x:v>
      </x:c>
      <x:c r="B1" s="3"/>
      <x:c r="C1" s="3"/>
      <x:c r="D1" s="3"/>
      <x:c r="E1" s="3"/>
      <x:c r="F1" s="3"/>
      <x:c r="G1" s="3"/>
    </x:row>
    <x:row r="2" ht="12" customHeight="1">
      <x:c r="A2" s="3"/>
      <x:c r="B2" s="3"/>
      <x:c r="C2" s="3"/>
      <x:c r="D2" s="3"/>
      <x:c r="E2" s="3"/>
      <x:c r="F2" s="3"/>
      <x:c r="G2" s="3"/>
    </x:row>
    <x:row r="3" ht="50" customHeight="1">
      <x:c r="A3" s="3" t="str">
        <x:v>実際の結果・状態・証拠を入力し、合格以外は理由と次の対応を記入します。対象外は実行省略を選び、期待結果が未確定の場合は合格に含めません。</x:v>
      </x:c>
      <x:c r="B3" s="3"/>
      <x:c r="C3" s="3"/>
      <x:c r="D3" s="3"/>
      <x:c r="E3" s="3"/>
      <x:c r="F3" s="3"/>
      <x:c r="G3" s="3"/>
    </x:row>
    <x:row r="4" ht="38" customHeight="1">
      <x:c r="A4" s="15" t="str">
        <x:v>テストID</x:v>
      </x:c>
      <x:c r="B4" s="15" t="str">
        <x:v>画面・機能</x:v>
      </x:c>
      <x:c r="C4" s="15" t="str">
        <x:v>条件・操作</x:v>
      </x:c>
      <x:c r="D4" s="15" t="str">
        <x:v>期待結果</x:v>
      </x:c>
      <x:c r="E4" s="15" t="str">
        <x:v>実際の結果</x:v>
      </x:c>
      <x:c r="F4" s="15" t="str">
        <x:v>状態</x:v>
      </x:c>
      <x:c r="G4" s="15" t="str">
        <x:v>証拠・不具合</x:v>
      </x:c>
    </x:row>
    <x:row r="5" ht="64" customHeight="1">
      <x:c r="A5" s="3"/>
      <x:c r="B5" s="3"/>
      <x:c r="C5" s="3"/>
      <x:c r="D5" s="3"/>
      <x:c r="E5" s="6"/>
      <x:c r="F5" s="6"/>
      <x:c r="G5" s="6"/>
    </x:row>
  </x:sheetData>
  <x:mergeCells>
    <x:mergeCell ref="A3:G3"/>
  </x:mergeCells>
  <x:dataValidations count="1">
    <x:dataValidation type="list" sqref="F5">
      <x:formula1>"合格,不合格,実行不可,実行省略,未実行"</x:formula1>
    </x:dataValidation>
  </x:dataValidations>
  <x:pageMargins left="0.7" right="0.7" top="0.75" bottom="0.75" header="0.3" footer="0.3"/>
</x:worksheet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TemplateFamily">
    <vt:lpwstr>test-report</vt:lpwstr>
  </property>
  <property fmtid="{D5CDD505-2E9C-101B-9397-08002B2CF9AE}" pid="3" name="TemplateVersion">
    <vt:lpwstr>1.0.0</vt:lpwstr>
  </property>
  <property fmtid="{D5CDD505-2E9C-101B-9397-08002B2CF9AE}" pid="4" name="Language">
    <vt:lpwstr>ja</vt:lpwstr>
  </property>
</Properties>
</file>