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s:workbook xmlns:r="http://schemas.openxmlformats.org/officeDocument/2006/relationships" xmlns:s="http://schemas.openxmlformats.org/spreadsheetml/2006/main">
  <s:workbookPr filterPrivacy="1"/>
  <s:sheets>
    <s:sheet name="Tổng quan" sheetId="1" state="visible" r:id="rId1"/>
    <s:sheet name="Kiểm thử" sheetId="2" state="visible" r:id="rId2"/>
  </s:sheets>
  <s:definedNames>
    <s:definedName name="_xlnm._FilterDatabase" localSheetId="0" hidden="1">'Tổng quan'!$A$29:$C$30</s:definedName>
    <s:definedName name="_xlnm.Print_Area" localSheetId="0">'Tổng quan'!$A$1:$C$30</s:definedName>
    <s:definedName name="_xlnm.Print_Area" localSheetId="1">'Kiểm thử'!$A$1:$E$13</s:definedName>
  </s:definedNames>
</s:workbook>
</file>

<file path=xl/styles.xml><?xml version="1.0" encoding="utf-8"?>
<styleSheet xmlns="http://schemas.openxmlformats.org/spreadsheetml/2006/main">
  <numFmts count="4">
    <numFmt numFmtId="164" formatCode="0.0%"/>
    <numFmt numFmtId="165" formatCode="&quot;&#10;&quot;General;&quot;&#10;&quot;-General;&quot;&#10;&quot;General;&quot;&#10;&quot;@"/>
    <numFmt numFmtId="166" formatCode="&quot;&#10;&quot;#,##0;&quot;&#10;&quot;-#,##0;&quot;&#10;&quot;#,##0;&quot;&#10;&quot;@"/>
    <numFmt numFmtId="167" formatCode="&quot;&#10;&quot;0.0%;&quot;&#10;&quot;-0.0%;&quot;&#10;&quot;0.0%;&quot;&#10;&quot;@"/>
  </numFmts>
  <fonts count="15">
    <font>
      <name val="Carlito"/>
      <sz val="11"/>
    </font>
    <font>
      <name val="Arial"/>
      <color rgb="FF172033"/>
      <sz val="11"/>
    </font>
    <font>
      <name val="Arial"/>
      <b val="1"/>
      <color rgb="FF172033"/>
      <sz val="15"/>
    </font>
    <font>
      <name val="Arial"/>
      <b val="1"/>
      <color rgb="FF172033"/>
      <sz val="11"/>
    </font>
    <font>
      <name val="Arial"/>
      <b val="1"/>
      <color rgb="FFFFFFFF"/>
      <sz val="11"/>
    </font>
    <font>
      <name val="Arial"/>
      <color rgb="FF475569"/>
      <sz val="11"/>
    </font>
    <font>
      <name val="Arial"/>
      <b val="1"/>
      <color rgb="00172033"/>
      <sz val="16"/>
    </font>
    <font>
      <name val="Arial"/>
      <b val="1"/>
      <sz val="11"/>
    </font>
    <font>
      <name val="Arial"/>
      <color rgb="00475569"/>
      <sz val="10"/>
    </font>
    <font>
      <name val="Arial"/>
      <b val="1"/>
      <color rgb="00FFFFFF"/>
      <sz val="14"/>
    </font>
    <font>
      <name val="Arial"/>
      <b val="1"/>
      <color rgb="00172033"/>
      <sz val="11"/>
    </font>
    <font>
      <name val="Arial"/>
      <color rgb="00172033"/>
      <sz val="11"/>
    </font>
    <font>
      <name val="Arial"/>
      <color rgb="001D4ED8"/>
      <sz val="11"/>
      <u val="single"/>
    </font>
    <font>
      <name val="Arial"/>
      <b val="1"/>
      <color rgb="00172033"/>
      <sz val="14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  <fill>
      <patternFill patternType="solid">
        <fgColor rgb="0017324D"/>
      </patternFill>
    </fill>
  </fills>
  <borders count="12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  <border>
      <right/>
      <bottom style="thin">
        <color rgb="00D9E2EC"/>
      </bottom>
    </border>
    <border>
      <left style="thin">
        <color rgb="00D9E2EC"/>
      </left>
      <right/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 style="thin">
        <color rgb="00D9E2EC"/>
      </bottom>
    </border>
    <border>
      <left/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center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1" fillId="8" borderId="0" applyAlignment="1" applyProtection="1" pivotButton="0" quotePrefix="0" xfId="0">
      <alignment vertical="center" wrapText="1"/>
      <protection locked="0" hidden="0"/>
    </xf>
    <xf numFmtId="3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49" fontId="11" fillId="8" borderId="0" applyAlignment="1" applyProtection="1" pivotButton="0" quotePrefix="0" xfId="0">
      <alignment horizontal="left" vertical="center" wrapText="1"/>
      <protection locked="0" hidden="0"/>
    </xf>
    <xf numFmtId="0" fontId="11" fillId="8" borderId="0" applyAlignment="1" applyProtection="1" pivotButton="0" quotePrefix="0" xfId="0">
      <alignment horizontal="left" vertical="center" wrapText="1"/>
      <protection locked="0" hidden="0"/>
    </xf>
    <xf numFmtId="49" fontId="11" fillId="8" borderId="4" applyAlignment="1" applyProtection="1" pivotButton="0" quotePrefix="0" xfId="0">
      <alignment horizontal="left" vertical="center" wrapText="1"/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49" fontId="11" fillId="8" borderId="7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wrapText="1" indent="1"/>
    </xf>
    <xf numFmtId="0" fontId="14" fillId="9" borderId="0" applyAlignment="1" pivotButton="0" quotePrefix="0" xfId="0">
      <alignment horizontal="left" vertical="top" wrapText="1" indent="1"/>
    </xf>
    <xf numFmtId="0" fontId="0" fillId="9" borderId="0" pivotButton="0" quotePrefix="0" xfId="0"/>
    <xf numFmtId="0" fontId="11" fillId="0" borderId="0" applyAlignment="1" pivotButton="0" quotePrefix="0" xfId="0">
      <alignment horizontal="left" vertical="top" wrapText="1" indent="1"/>
    </xf>
    <xf numFmtId="165" fontId="2" fillId="0" borderId="0" applyAlignment="1" pivotButton="0" quotePrefix="0" xfId="0">
      <alignment horizontal="left" vertical="top" wrapText="1" indent="1"/>
    </xf>
    <xf numFmtId="165" fontId="1" fillId="0" borderId="0" applyAlignment="1" pivotButton="0" quotePrefix="0" xfId="0">
      <alignment horizontal="left" vertical="top" wrapText="1" indent="1"/>
    </xf>
    <xf numFmtId="165" fontId="0" fillId="0" borderId="0" applyAlignment="1" pivotButton="0" quotePrefix="0" xfId="0">
      <alignment horizontal="left" vertical="top" wrapText="1" indent="1"/>
    </xf>
    <xf numFmtId="165" fontId="5" fillId="0" borderId="0" applyAlignment="1" pivotButton="0" quotePrefix="0" xfId="0">
      <alignment horizontal="left" vertical="top" wrapText="1" indent="1"/>
    </xf>
    <xf numFmtId="165" fontId="3" fillId="0" borderId="0" applyAlignment="1" pivotButton="0" quotePrefix="0" xfId="0">
      <alignment horizontal="left" vertical="top" wrapText="1" indent="1"/>
    </xf>
    <xf numFmtId="165" fontId="11" fillId="0" borderId="0" applyAlignment="1" pivotButton="0" quotePrefix="0" xfId="0">
      <alignment horizontal="left" vertical="top" wrapText="1" indent="1"/>
    </xf>
    <xf numFmtId="165" fontId="11" fillId="8" borderId="0" applyAlignment="1" applyProtection="1" pivotButton="0" quotePrefix="0" xfId="0">
      <alignment horizontal="left" vertical="top" wrapText="1" indent="1"/>
      <protection locked="0" hidden="0"/>
    </xf>
    <xf numFmtId="165" fontId="4" fillId="3" borderId="0" applyAlignment="1" pivotButton="0" quotePrefix="0" xfId="0">
      <alignment horizontal="left" vertical="top" wrapText="1" indent="1"/>
    </xf>
    <xf numFmtId="166" fontId="11" fillId="4" borderId="0" applyAlignment="1" pivotButton="0" quotePrefix="0" xfId="0">
      <alignment horizontal="right" vertical="top" wrapText="1" indent="1"/>
    </xf>
    <xf numFmtId="167" fontId="11" fillId="4" borderId="0" applyAlignment="1" pivotButton="0" quotePrefix="0" xfId="0">
      <alignment horizontal="right" vertical="top" wrapText="1" indent="1"/>
    </xf>
    <xf numFmtId="165" fontId="6" fillId="0" borderId="0" applyAlignment="1" pivotButton="0" quotePrefix="0" xfId="0">
      <alignment horizontal="left" vertical="top" wrapText="1" indent="1"/>
    </xf>
    <xf numFmtId="165" fontId="14" fillId="9" borderId="0" applyAlignment="1" pivotButton="0" quotePrefix="0" xfId="0">
      <alignment horizontal="left" vertical="top" wrapText="1" indent="1"/>
    </xf>
    <xf numFmtId="165" fontId="7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1" fillId="8" borderId="0" applyAlignment="1" applyProtection="1" pivotButton="0" quotePrefix="0" xfId="0">
      <alignment horizontal="left" vertical="center" wrapText="1" indent="1"/>
      <protection locked="0" hidden="0"/>
    </xf>
    <xf numFmtId="0" fontId="4" fillId="3" borderId="0" applyAlignment="1" pivotButton="0" quotePrefix="0" xfId="0">
      <alignment horizontal="left" vertical="center" wrapText="1" indent="1"/>
    </xf>
    <xf numFmtId="3" fontId="11" fillId="4" borderId="0" applyAlignment="1" pivotButton="0" quotePrefix="0" xfId="0">
      <alignment horizontal="right" vertical="center" wrapText="1" indent="1"/>
    </xf>
    <xf numFmtId="164" fontId="11" fillId="4" borderId="0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14" fillId="9" borderId="0" applyAlignment="1" pivotButton="0" quotePrefix="0" xfId="0">
      <alignment horizontal="left" vertical="center" wrapText="1" indent="1"/>
    </xf>
    <xf numFmtId="0" fontId="11" fillId="0" borderId="0" applyAlignment="1" applyProtection="1" pivotButton="0" quotePrefix="0" xfId="0">
      <alignment horizontal="left" vertical="top" wrapText="1" indent="1"/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C2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6" customWidth="1" min="1" max="1"/>
    <col width="83" customWidth="1" min="2" max="2"/>
    <col width="22" customWidth="1" min="3" max="3"/>
  </cols>
  <sheetData>
    <row r="1" ht="32" customHeight="1">
      <c r="A1" s="97" t="inlineStr">
        <is>
          <t>Báo cáo kiểm thử</t>
        </is>
      </c>
      <c r="B1" s="98" t="n"/>
      <c r="C1" s="99" t="n"/>
    </row>
    <row r="2" ht="12" customHeight="1">
      <c r="A2" s="3" t="inlineStr"/>
      <c r="B2" s="3" t="n"/>
    </row>
    <row r="3" ht="32" customHeight="1">
      <c r="A3" s="100" t="inlineStr">
        <is>
          <t>Nhập lần kiểm thử, phiên bản ứng dụng, môi trường, người và thời điểm thực hiện.</t>
        </is>
      </c>
      <c r="C3" s="99" t="n"/>
    </row>
    <row r="4" ht="30" customHeight="1">
      <c r="A4" s="101" t="inlineStr">
        <is>
          <t>Chức năng</t>
        </is>
      </c>
      <c r="B4" s="102" t="inlineStr">
        <is>
          <t>SYN-SC synthetic rule lifecycle</t>
        </is>
      </c>
    </row>
    <row r="5" ht="30" customHeight="1">
      <c r="A5" s="101" t="inlineStr">
        <is>
          <t>Phiên bản kiểm thử</t>
        </is>
      </c>
      <c r="B5" s="102" t="inlineStr">
        <is>
          <t>compact-r1</t>
        </is>
      </c>
    </row>
    <row r="6" ht="30" customHeight="1">
      <c r="A6" s="101" t="inlineStr">
        <is>
          <t>Lần kiểm thử</t>
        </is>
      </c>
      <c r="B6" s="103" t="inlineStr"/>
      <c r="C6" s="71" t="n"/>
    </row>
    <row r="7" ht="30" customHeight="1">
      <c r="A7" s="101" t="inlineStr">
        <is>
          <t>Phiên bản ứng dụng</t>
        </is>
      </c>
      <c r="B7" s="103" t="inlineStr"/>
      <c r="C7" s="71" t="n"/>
    </row>
    <row r="8" ht="30" customHeight="1">
      <c r="A8" s="101" t="inlineStr">
        <is>
          <t>Môi trường</t>
        </is>
      </c>
      <c r="B8" s="103" t="inlineStr"/>
      <c r="C8" s="71" t="n"/>
    </row>
    <row r="9" ht="30" customHeight="1">
      <c r="A9" s="101" t="inlineStr">
        <is>
          <t>Người thực hiện</t>
        </is>
      </c>
      <c r="B9" s="103" t="inlineStr"/>
      <c r="C9" s="71" t="n"/>
    </row>
    <row r="10" ht="44" customHeight="1">
      <c r="A10" s="101" t="inlineStr">
        <is>
          <t>Thời điểm thực hiện (kèm múi giờ)</t>
        </is>
      </c>
      <c r="B10" s="103" t="inlineStr"/>
      <c r="C10" s="71" t="n"/>
    </row>
    <row r="11" ht="78" customHeight="1">
      <c r="A11" s="101" t="inlineStr">
        <is>
          <t>Phạm vi</t>
        </is>
      </c>
      <c r="B11" s="102" t="inlineStr">
        <is>
          <t>SYN:O1–O8; boundary, deletion, incomplete/stale rule, AND controls
Chuẩn bị: TD-SC create/verify/reset once per variant; G-PREP retains unknown entry/readback seams
Điều kiện bắt đầu: G-PREP resolved before readiness; do not infer from source fixture
Điều kiện kết thúc: Every requested variant/checkpoint observed; no invented PASS</t>
        </is>
      </c>
    </row>
    <row r="12" ht="30" customHeight="1">
      <c r="A12" s="101" t="inlineStr">
        <is>
          <t>Ngoài phạm vi</t>
        </is>
      </c>
      <c r="B12" s="102" t="inlineStr">
        <is>
          <t>None of the eight source obligations; real BLEND QA is outside this synthetic fixture</t>
        </is>
      </c>
    </row>
    <row r="13" ht="61" customHeight="1">
      <c r="A13" s="101" t="inlineStr">
        <is>
          <t>Giới hạn</t>
        </is>
      </c>
      <c r="B13" s="102" t="inlineStr">
        <is>
          <t>G-PREP: concrete browser/request seams are not verified
1 khoảng trống được giữ trong Điều kiện kiểm thử của các testcase tương ứng.
5 testcase chưa có URL màn hình tương đối được xác minh.</t>
        </is>
      </c>
    </row>
    <row r="14" ht="44" customHeight="1">
      <c r="A14" s="34" t="inlineStr"/>
      <c r="B14" s="56" t="inlineStr"/>
    </row>
    <row r="15" ht="32" customHeight="1">
      <c r="A15" s="104" t="inlineStr">
        <is>
          <t>Tiến độ và kết quả</t>
        </is>
      </c>
      <c r="B15" s="104" t="n"/>
      <c r="C15" s="99" t="n"/>
    </row>
    <row r="16" ht="32" customHeight="1">
      <c r="A16" s="98" t="inlineStr">
        <is>
          <t>Số TC</t>
        </is>
      </c>
      <c r="B16" s="105">
        <f>1</f>
        <v/>
      </c>
      <c r="C16" s="99" t="n"/>
    </row>
    <row r="17" ht="32" customHeight="1">
      <c r="A17" s="98" t="inlineStr">
        <is>
          <t>Số biến thể</t>
        </is>
      </c>
      <c r="B17" s="105">
        <f>2</f>
        <v/>
      </c>
      <c r="C17" s="99" t="n"/>
    </row>
    <row r="18" ht="32" customHeight="1">
      <c r="A18" s="98" t="inlineStr">
        <is>
          <t>TC PASS</t>
        </is>
      </c>
      <c r="B18" s="105">
        <f>COUNTIF(C30:C30,"Đạt")</f>
        <v/>
      </c>
      <c r="C18" s="99" t="n"/>
    </row>
    <row r="19" ht="32" customHeight="1">
      <c r="A19" s="98" t="inlineStr">
        <is>
          <t>TC FAIL</t>
        </is>
      </c>
      <c r="B19" s="105">
        <f>COUNTIF(C30:C30,"Không đạt")</f>
        <v/>
      </c>
      <c r="C19" s="99" t="n"/>
    </row>
    <row r="20" ht="32" customHeight="1">
      <c r="A20" s="98" t="inlineStr">
        <is>
          <t>Biến thể bị chặn</t>
        </is>
      </c>
      <c r="B20" s="105">
        <f>SUM('Testcases'!B90)</f>
        <v/>
      </c>
      <c r="C20" s="99" t="n"/>
    </row>
    <row r="21" ht="32" customHeight="1">
      <c r="A21" s="98" t="inlineStr">
        <is>
          <t>Biến thể không thực hiện</t>
        </is>
      </c>
      <c r="B21" s="105">
        <f>SUM('Testcases'!B91)</f>
        <v/>
      </c>
      <c r="C21" s="99" t="n"/>
    </row>
    <row r="22" ht="32" customHeight="1">
      <c r="A22" s="98" t="inlineStr">
        <is>
          <t>Biến thể chưa thực hiện</t>
        </is>
      </c>
      <c r="B22" s="105">
        <f>SUM('Testcases'!B92)</f>
        <v/>
      </c>
      <c r="C22" s="99" t="n"/>
    </row>
    <row r="23" ht="52" customHeight="1">
      <c r="A23" s="98" t="inlineStr">
        <is>
          <t>TC đã đánh giá</t>
        </is>
      </c>
      <c r="B23" s="105">
        <f>B18+B19</f>
        <v/>
      </c>
      <c r="C23" s="99" t="n"/>
    </row>
    <row r="24" ht="52" customHeight="1">
      <c r="A24" s="98" t="inlineStr">
        <is>
          <t>Tỷ lệ PASS theo TC</t>
        </is>
      </c>
      <c r="B24" s="106">
        <f>IF(B23=0,"Chưa có dữ liệu",B18/B23)</f>
        <v/>
      </c>
      <c r="C24" s="99" t="n"/>
    </row>
    <row r="25" ht="52" customHeight="1">
      <c r="A25" s="98" t="inlineStr">
        <is>
          <t>Tiến độ theo TC</t>
        </is>
      </c>
      <c r="B25" s="106">
        <f>IF(B16=0,"Chưa có dữ liệu",B23/B16)</f>
        <v/>
      </c>
      <c r="C25" s="99" t="n"/>
    </row>
    <row r="26" ht="32" customHeight="1">
      <c r="A26" s="98" t="inlineStr">
        <is>
          <t>TC chưa PASS</t>
        </is>
      </c>
      <c r="B26" s="105">
        <f>B16-B18</f>
        <v/>
      </c>
      <c r="C26" s="99" t="n"/>
    </row>
    <row r="27" ht="32" customHeight="1">
      <c r="A27" s="98" t="inlineStr">
        <is>
          <t>Trạng thái biến thể không hợp lệ</t>
        </is>
      </c>
      <c r="B27" s="105">
        <f>B17-SUM(B20:B22,SUM('Testcases'!B88),SUM('Testcases'!B89))</f>
        <v/>
      </c>
      <c r="C27" s="99" t="n"/>
    </row>
    <row r="28" ht="32" customHeight="1">
      <c r="A28" s="3" t="n"/>
      <c r="B28" s="3" t="n"/>
    </row>
    <row r="29" ht="32" customHeight="1">
      <c r="A29" s="104" t="inlineStr">
        <is>
          <t>Mã TC</t>
        </is>
      </c>
      <c r="B29" s="104" t="inlineStr">
        <is>
          <t>Testcase</t>
        </is>
      </c>
      <c r="C29" s="104" t="inlineStr">
        <is>
          <t>Trạng thái tổng hợp</t>
        </is>
      </c>
    </row>
  </sheetData>
  <autoFilter ref="A29:C30"/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rintOptions horizontalCentered="0"/>
  <pageMargins left="0.7" right="0.7" top="0.75" bottom="0.75" header="0.3" footer="0.3"/>
  <pageSetup orientation="landscape" paperSize="8" fitToHeight="0" fitToWidth="1"/>
</worksheet>
</file>

<file path=xl/worksheets/sheet2.xml><?xml version="1.0" encoding="utf-8"?>
<s:worksheet xmlns:s="http://schemas.openxmlformats.org/spreadsheetml/2006/main">
  <s:sheetPr>
    <s:tabColor rgb="0064748B"/>
    <s:outlinePr summaryBelow="0" summaryRight="1"/>
    <s:pageSetUpPr fitToPage="1"/>
  </s:sheetPr>
  <s:dimension ref="A1:E13"/>
  <s:sheetViews>
    <s:sheetView showGridLines="0" workbookViewId="0">
      <s:pane ySplit="1" topLeftCell="A2" activePane="bottomLeft" state="frozen"/>
      <s:selection pane="bottomLeft" activeCell="A2" sqref="A2"/>
    </s:sheetView>
  </s:sheetViews>
  <s:sheetFormatPr baseColWidth="8" defaultRowHeight="15"/>
  <s:cols>
    <s:col width="24" customWidth="1" min="1" max="1"/>
    <s:col width="35" customWidth="1" min="2" max="2"/>
    <s:col width="45" customWidth="1" min="3" max="3"/>
    <s:col width="35" customWidth="1" min="4" max="4"/>
    <s:col width="19" customWidth="1" min="5" max="5"/>
    <s:col width="18" customWidth="1" min="6" max="6"/>
    <s:col width="28" customWidth="1" min="7" max="7"/>
  </s:cols>
  <s:sheetData>
    <s:row r="1" ht="32" customHeight="1">
      <s:c r="A1" s="107" t="inlineStr">
        <s:is>
          <s:t>Kiểm thử chi tiết</s:t>
        </s:is>
      </s:c>
      <s:c r="B1" s="99" t="n"/>
      <s:c r="C1" s="99" t="n"/>
      <s:c r="D1" s="99" t="n"/>
      <s:c r="E1" s="99" t="n"/>
    </s:row>
    <s:row r="2" hidden="1" ht="42" customHeight="1">
      <s:c r="A2" s="79" t="inlineStr"/>
    </s:row>
    <s:row r="3" hidden="1" ht="12" customHeight="1">
      <s:c r="A3" s="78" t="n"/>
      <s:c r="B3" s="78" t="n"/>
      <s:c r="C3" s="78" t="n"/>
      <s:c r="D3" s="78" t="n"/>
      <s:c r="E3" s="78" t="n"/>
    </s:row>
    <s:row r="4" hidden="1" ht="8" customHeight="1">
      <s:c r="A4" s="80" t="n"/>
      <s:c r="B4" s="78" t="n"/>
      <s:c r="C4" s="78" t="n"/>
      <s:c r="D4" s="78" t="n"/>
      <s:c r="E4" s="78" t="n"/>
    </s:row>
    <s:row r="5" ht="30" customHeight="1">
      <s:c r="A5" s="108" t="inlineStr">
        <s:is>
          <s:t>[Mã TC] — [Tên tình huống]</s:t>
        </s:is>
      </s:c>
    </s:row>
    <s:row r="6" ht="30" customHeight="1">
      <s:c r="A6" s="102" t="inlineStr">
        <s:is>
          <s:t>Kết quả tình huống</s:t>
        </s:is>
      </s:c>
      <s:c r="B6" s="102" t="inlineStr">
        <s:is>
          <s:t>Chưa thực hiện</s:t>
        </s:is>
      </s:c>
      <s:c r="C6" s="99" t="n"/>
      <s:c r="D6" s="99" t="n"/>
      <s:c r="E6" s="99" t="n"/>
    </s:row>
    <s:row r="7" ht="42" customHeight="1">
      <s:c r="A7" s="102" t="inlineStr">
        <s:is>
          <s:t>Điều kiện</s:t>
        </s:is>
      </s:c>
      <s:c r="B7" s="102" t="inlineStr">
        <s:is>
          <s:t>[Trạng thái ban đầu và dữ liệu dùng chung]</s:t>
        </s:is>
      </s:c>
    </s:row>
    <s:row r="8" ht="30" customHeight="1">
      <s:c r="A8" s="102" t="inlineStr">
        <s:is>
          <s:t>Bước</s:t>
        </s:is>
      </s:c>
      <s:c r="B8" s="102" t="inlineStr">
        <s:is>
          <s:t>Thao tác chung</s:t>
        </s:is>
      </s:c>
    </s:row>
    <s:row r="9" ht="42" customHeight="1">
      <s:c r="A9" s="102" t="inlineStr">
        <s:is>
          <s:t>Bước 1</s:t>
        </s:is>
      </s:c>
      <s:c r="B9" s="102" t="inlineStr">
        <s:is>
          <s:t>[Thao tác dùng chung]</s:t>
        </s:is>
      </s:c>
    </s:row>
    <s:row r="10" ht="28" customHeight="1">
      <s:c r="A10" s="80" t="inlineStr">
        <s:is>
          <s:t>Trường hợp</s:t>
        </s:is>
      </s:c>
      <s:c r="B10" s="80" t="inlineStr">
        <s:is>
          <s:t>Dữ liệu / thao tác riêng</s:t>
        </s:is>
      </s:c>
      <s:c r="C10" s="80" t="inlineStr">
        <s:is>
          <s:t>Kết quả mong đợi</s:t>
        </s:is>
      </s:c>
      <s:c r="D10" s="80" t="inlineStr">
        <s:is>
          <s:t>Kết quả thực tế</s:t>
        </s:is>
      </s:c>
      <s:c r="E10" s="80" t="inlineStr">
        <s:is>
          <s:t>Đánh giá</s:t>
        </s:is>
      </s:c>
    </s:row>
    <s:row r="11" ht="3" customHeight="1">
      <s:c r="D11" s="36" t="n"/>
      <s:c r="E11" s="36" t="n"/>
    </s:row>
    <s:row r="12" ht="42" customHeight="1">
      <s:c r="A12" s="83" t="inlineStr">
        <s:is>
          <s:t>Hủy xóa (cancel)</s:t>
        </s:is>
      </s:c>
      <s:c r="B12" s="83" t="inlineStr">
        <s:is>
          <s:r>
            <s:rPr>
              <s:b val="1"/>
            </s:rPr>
            <s:t>Chọn Hủy（キャンセル）</s:t>
          </s:r>
          <s:r>
            <s:t xml:space="preserve"> trong hộp xác nhận.</s:t>
          </s:r>
        </s:is>
      </s:c>
      <s:c r="C12" s="83" t="inlineStr">
        <s:is>
          <s:t>Danh sách vẫn có đủ hai quy tắc.</s:t>
        </s:is>
      </s:c>
      <s:c r="D12" s="109" t="inlineStr"/>
      <s:c r="E12" s="109" t="inlineStr">
        <s:is>
          <s:t>Chưa thực hiện</s:t>
        </s:is>
      </s:c>
    </s:row>
    <s:row r="13" ht="30" customHeight="1">
      <s:c r="A13" s="102" t="inlineStr">
        <s:is>
          <s:t>Ảnh minh chứng — Chưa có ảnh</s:t>
        </s:is>
      </s:c>
    </s:row>
  </s:sheetData>
  <s:mergeCells count="6">
    <s:mergeCell ref="B9:E9"/>
    <s:mergeCell ref="B8:E8"/>
    <s:mergeCell ref="A2:E2"/>
    <s:mergeCell ref="B7:E7"/>
    <s:mergeCell ref="A5:E5"/>
    <s:mergeCell ref="A13:E13"/>
  </s:mergeCells>
  <s:printOptions horizontalCentered="0"/>
  <s:pageMargins left="0.7" right="0.7" top="0.75" bottom="0.75" header="0.3" footer="0.3"/>
  <s:pageSetup orientation="portrait" paperSize="8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2026-10-04T11:11:31Z</dcterms:created>
  <dcterms:modified xsi:type="dcterms:W3CDTF">2026-10-06T04:45:31Z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teFamily" fmtid="{D5CDD505-2E9C-101B-9397-08002B2CF9AE}" pid="2">
    <vt:lpwstr>test-report</vt:lpwstr>
  </property>
  <property name="TemplateVersion" fmtid="{D5CDD505-2E9C-101B-9397-08002B2CF9AE}" pid="3">
    <vt:lpwstr>2.5.0</vt:lpwstr>
  </property>
  <property name="Language" fmtid="{D5CDD505-2E9C-101B-9397-08002B2CF9AE}" pid="4">
    <vt:lpwstr>vi</vt:lpwstr>
  </property>
</Properties>
</file>