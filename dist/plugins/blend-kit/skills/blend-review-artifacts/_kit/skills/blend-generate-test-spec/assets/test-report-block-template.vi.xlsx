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ổng quan" sheetId="1" state="visible" r:id="rId1"/>
    <sheet name="Kiểm thử" sheetId="2" state="visible" r:id="rId2"/>
  </sheets>
  <definedNames>
    <definedName name="_xlnm._FilterDatabase" localSheetId="0" hidden="1">'Tổng quan'!$A$29:$C$30</definedName>
    <definedName name="_xlnm.Print_Area" localSheetId="0">'Tổng quan'!$A$1:$C$30</definedName>
    <definedName name="_xlnm.Print_Area" localSheetId="1">'Kiểm thử'!$A$1:$F$93</definedName>
  </definedNames>
</workbook>
</file>

<file path=xl/styles.xml><?xml version="1.0" encoding="utf-8"?>
<styleSheet xmlns="http://schemas.openxmlformats.org/spreadsheetml/2006/main">
  <numFmts count="1">
    <numFmt numFmtId="164" formatCode="0.0%"/>
  </numFmts>
  <fonts count="14">
    <font>
      <name val="Carlito"/>
      <sz val="11"/>
    </font>
    <font>
      <name val="Arial"/>
      <color rgb="FF172033"/>
      <sz val="11"/>
    </font>
    <font>
      <name val="Arial"/>
      <b val="1"/>
      <color rgb="FF172033"/>
      <sz val="15"/>
    </font>
    <font>
      <name val="Arial"/>
      <b val="1"/>
      <color rgb="FF172033"/>
      <sz val="11"/>
    </font>
    <font>
      <name val="Arial"/>
      <b val="1"/>
      <color rgb="FFFFFFFF"/>
      <sz val="11"/>
    </font>
    <font>
      <name val="Arial"/>
      <color rgb="FF475569"/>
      <sz val="11"/>
    </font>
    <font>
      <name val="Arial"/>
      <b val="1"/>
      <color rgb="00172033"/>
      <sz val="16"/>
    </font>
    <font>
      <name val="Arial"/>
      <b val="1"/>
      <sz val="11"/>
    </font>
    <font>
      <name val="Arial"/>
      <color rgb="00475569"/>
      <sz val="10"/>
    </font>
    <font>
      <name val="Arial"/>
      <b val="1"/>
      <color rgb="00FFFFFF"/>
      <sz val="14"/>
    </font>
    <font>
      <name val="Arial"/>
      <b val="1"/>
      <color rgb="00172033"/>
      <sz val="11"/>
    </font>
    <font>
      <name val="Arial"/>
      <color rgb="00172033"/>
      <sz val="11"/>
    </font>
    <font>
      <name val="Arial"/>
      <color rgb="001D4ED8"/>
      <sz val="11"/>
      <u val="single"/>
    </font>
    <font>
      <name val="Arial"/>
      <b val="1"/>
      <color rgb="00172033"/>
      <sz val="14"/>
    </font>
  </fonts>
  <fills count="9">
    <fill>
      <patternFill/>
    </fill>
    <fill>
      <patternFill patternType="gray125"/>
    </fill>
    <fill>
      <patternFill patternType="solid">
        <fgColor rgb="FFFFF3CD"/>
      </patternFill>
    </fill>
    <fill>
      <patternFill patternType="solid">
        <fgColor rgb="FF334155"/>
      </patternFill>
    </fill>
    <fill>
      <patternFill patternType="solid">
        <fgColor rgb="FFF1F5F9"/>
      </patternFill>
    </fill>
    <fill>
      <patternFill patternType="solid">
        <fgColor rgb="00334155"/>
      </patternFill>
    </fill>
    <fill>
      <patternFill patternType="solid">
        <fgColor rgb="00FFF3CD"/>
      </patternFill>
    </fill>
    <fill>
      <patternFill patternType="solid">
        <fgColor rgb="00E8EEF5"/>
      </patternFill>
    </fill>
    <fill>
      <patternFill patternType="solid">
        <fgColor rgb="00F8FAFC"/>
      </patternFill>
    </fill>
  </fills>
  <borders count="12">
    <border>
      <left/>
      <right/>
      <top/>
      <bottom/>
      <diagonal/>
    </border>
    <border>
      <bottom style="thin">
        <color rgb="00D9E2EC"/>
      </bottom>
    </border>
    <border>
      <left/>
      <right/>
      <top/>
      <bottom style="thin">
        <color rgb="00D9E2EC"/>
      </bottom>
      <diagonal/>
    </border>
    <border>
      <right/>
      <bottom style="thin">
        <color rgb="00D9E2EC"/>
      </bottom>
    </border>
    <border>
      <left style="thin">
        <color rgb="00D9E2EC"/>
      </left>
      <right/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 style="thin">
        <color rgb="00D9E2EC"/>
      </bottom>
    </border>
    <border>
      <left/>
      <right style="thin">
        <color rgb="00D9E2EC"/>
      </right>
      <top style="thin">
        <color rgb="00D9E2EC"/>
      </top>
      <bottom style="thin">
        <color rgb="00D9E2EC"/>
      </bottom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4" borderId="0" applyAlignment="1" pivotButton="0" quotePrefix="0" xfId="0">
      <alignment horizontal="left" vertical="top" wrapText="1"/>
    </xf>
    <xf numFmtId="3" fontId="1" fillId="4" borderId="0" applyAlignment="1" pivotButton="0" quotePrefix="0" xfId="0">
      <alignment horizontal="left" vertical="top" wrapText="1"/>
    </xf>
    <xf numFmtId="164" fontId="1" fillId="4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top" wrapText="1"/>
    </xf>
    <xf numFmtId="0" fontId="4" fillId="3" borderId="0" applyAlignment="1" pivotButton="0" quotePrefix="0" xfId="0">
      <alignment horizontal="center" vertical="center" wrapText="1"/>
    </xf>
    <xf numFmtId="3" fontId="1" fillId="4" borderId="0" applyAlignment="1" pivotButton="0" quotePrefix="0" xfId="0">
      <alignment horizontal="left" vertical="top" wrapText="1"/>
    </xf>
    <xf numFmtId="164" fontId="1" fillId="4" borderId="0" applyAlignment="1" pivotButton="0" quotePrefix="0" xfId="0">
      <alignment horizontal="left" vertical="top" wrapText="1"/>
    </xf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5" borderId="0" applyAlignment="1" pivotButton="0" quotePrefix="0" xfId="0">
      <alignment vertical="center" wrapText="1"/>
    </xf>
    <xf numFmtId="0" fontId="0" fillId="5" borderId="0" pivotButton="0" quotePrefix="0" xfId="0"/>
    <xf numFmtId="0" fontId="10" fillId="0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0" fillId="7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top" wrapText="1"/>
    </xf>
    <xf numFmtId="0" fontId="2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1" fillId="8" borderId="0" applyAlignment="1" pivotButton="0" quotePrefix="0" xfId="0">
      <alignment vertical="top" wrapText="1"/>
    </xf>
    <xf numFmtId="0" fontId="0" fillId="8" borderId="0" pivotButton="0" quotePrefix="0" xfId="0"/>
    <xf numFmtId="0" fontId="4" fillId="3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3" fontId="1" fillId="4" borderId="0" applyAlignment="1" pivotButton="0" quotePrefix="0" xfId="0">
      <alignment horizontal="left" vertical="center" wrapText="1"/>
    </xf>
    <xf numFmtId="164" fontId="1" fillId="4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6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5" borderId="0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applyAlignment="1" pivotButton="0" quotePrefix="0" xfId="0">
      <alignment horizontal="left" vertical="center" wrapText="1"/>
    </xf>
    <xf numFmtId="0" fontId="10" fillId="7" borderId="3" applyAlignment="1" pivotButton="0" quotePrefix="0" xfId="0">
      <alignment horizontal="left" vertical="center" wrapText="1"/>
    </xf>
    <xf numFmtId="0" fontId="0" fillId="8" borderId="3" applyAlignment="1" pivotButton="0" quotePrefix="0" xfId="0">
      <alignment vertical="center" wrapText="1"/>
    </xf>
    <xf numFmtId="0" fontId="10" fillId="0" borderId="3" applyAlignment="1" pivotButton="0" quotePrefix="0" xfId="0">
      <alignment horizontal="left" vertical="center" wrapText="1"/>
    </xf>
    <xf numFmtId="0" fontId="11" fillId="0" borderId="0" applyAlignment="1" pivotButton="0" quotePrefix="0" xfId="0">
      <alignment vertical="center" wrapText="1"/>
    </xf>
    <xf numFmtId="0" fontId="11" fillId="8" borderId="0" applyAlignment="1" applyProtection="1" pivotButton="0" quotePrefix="0" xfId="0">
      <alignment vertical="center" wrapText="1"/>
      <protection locked="0" hidden="0"/>
    </xf>
    <xf numFmtId="3" fontId="11" fillId="4" borderId="0" applyAlignment="1" pivotButton="0" quotePrefix="0" xfId="0">
      <alignment vertical="center" wrapText="1"/>
    </xf>
    <xf numFmtId="164" fontId="11" fillId="4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top" wrapText="1"/>
    </xf>
    <xf numFmtId="0" fontId="11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1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49" fontId="11" fillId="8" borderId="0" applyAlignment="1" applyProtection="1" pivotButton="0" quotePrefix="0" xfId="0">
      <alignment horizontal="left" vertical="center" wrapText="1"/>
      <protection locked="0" hidden="0"/>
    </xf>
    <xf numFmtId="0" fontId="11" fillId="8" borderId="0" applyAlignment="1" applyProtection="1" pivotButton="0" quotePrefix="0" xfId="0">
      <alignment horizontal="left" vertical="center" wrapText="1"/>
      <protection locked="0" hidden="0"/>
    </xf>
    <xf numFmtId="49" fontId="11" fillId="8" borderId="4" applyAlignment="1" applyProtection="1" pivotButton="0" quotePrefix="0" xfId="0">
      <alignment horizontal="left" vertical="center" wrapText="1"/>
      <protection locked="0" hidden="0"/>
    </xf>
    <xf numFmtId="0" fontId="0" fillId="0" borderId="5" pivotButton="0" quotePrefix="0" xfId="0"/>
    <xf numFmtId="0" fontId="0" fillId="0" borderId="6" pivotButton="0" quotePrefix="0" xfId="0"/>
    <xf numFmtId="0" fontId="0" fillId="0" borderId="0" applyProtection="1" pivotButton="0" quotePrefix="0" xfId="0">
      <protection locked="0" hidden="0"/>
    </xf>
    <xf numFmtId="49" fontId="11" fillId="8" borderId="7" applyAlignment="1" applyProtection="1" pivotButton="0" quotePrefix="0" xfId="0">
      <alignment horizontal="left" vertical="center" wrapText="1"/>
      <protection locked="0" hidden="0"/>
    </xf>
    <xf numFmtId="0" fontId="0" fillId="0" borderId="10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13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top" wrapText="1" indent="1"/>
    </xf>
    <xf numFmtId="0" fontId="0" fillId="0" borderId="0" applyAlignment="1" pivotButton="0" quotePrefix="0" xfId="0">
      <alignment horizontal="left" vertical="top" wrapText="1" indent="1"/>
    </xf>
    <xf numFmtId="0" fontId="8" fillId="0" borderId="0" applyAlignment="1" pivotButton="0" quotePrefix="0" xfId="0">
      <alignment horizontal="left" vertical="top" wrapText="1" indent="1"/>
    </xf>
    <xf numFmtId="0" fontId="7" fillId="0" borderId="0" applyAlignment="1" pivotButton="0" quotePrefix="0" xfId="0">
      <alignment horizontal="left" vertical="top" wrapText="1" inden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00334155"/>
    <outlinePr summaryBelow="1" summaryRight="1"/>
    <pageSetUpPr fitToPage="1"/>
  </sheetPr>
  <dimension ref="A1:C29"/>
  <sheetViews>
    <sheetView showGridLines="0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26" customWidth="1" min="1" max="1"/>
    <col width="83" customWidth="1" min="2" max="2"/>
    <col width="22" customWidth="1" min="3" max="3"/>
  </cols>
  <sheetData>
    <row r="1" ht="32" customHeight="1">
      <c r="A1" s="32" t="inlineStr">
        <is>
          <t>Báo cáo kiểm thử</t>
        </is>
      </c>
      <c r="B1" s="3" t="n"/>
    </row>
    <row r="2" ht="12" customHeight="1">
      <c r="A2" s="3" t="inlineStr"/>
      <c r="B2" s="3" t="n"/>
    </row>
    <row r="3" ht="32" customHeight="1">
      <c r="A3" s="33" t="inlineStr">
        <is>
          <t>Nhập lần kiểm thử, phiên bản ứng dụng, môi trường, người và thời điểm thực hiện.</t>
        </is>
      </c>
    </row>
    <row r="4" ht="30" customHeight="1">
      <c r="A4" s="34" t="inlineStr">
        <is>
          <t>Chức năng</t>
        </is>
      </c>
      <c r="B4" s="56" t="inlineStr">
        <is>
          <t>SYN-SC synthetic rule lifecycle</t>
        </is>
      </c>
    </row>
    <row r="5" ht="30" customHeight="1">
      <c r="A5" s="34" t="inlineStr">
        <is>
          <t>Phiên bản kiểm thử</t>
        </is>
      </c>
      <c r="B5" s="56" t="inlineStr">
        <is>
          <t>compact-r1</t>
        </is>
      </c>
    </row>
    <row r="6" ht="30" customHeight="1">
      <c r="A6" s="34" t="inlineStr">
        <is>
          <t>Lần kiểm thử</t>
        </is>
      </c>
      <c r="B6" s="57" t="inlineStr"/>
      <c r="C6" s="71" t="n"/>
    </row>
    <row r="7" ht="30" customHeight="1">
      <c r="A7" s="34" t="inlineStr">
        <is>
          <t>Phiên bản ứng dụng</t>
        </is>
      </c>
      <c r="B7" s="57" t="inlineStr"/>
      <c r="C7" s="71" t="n"/>
    </row>
    <row r="8" ht="30" customHeight="1">
      <c r="A8" s="34" t="inlineStr">
        <is>
          <t>Môi trường</t>
        </is>
      </c>
      <c r="B8" s="57" t="inlineStr"/>
      <c r="C8" s="71" t="n"/>
    </row>
    <row r="9" ht="30" customHeight="1">
      <c r="A9" s="34" t="inlineStr">
        <is>
          <t>Người thực hiện</t>
        </is>
      </c>
      <c r="B9" s="57" t="inlineStr"/>
      <c r="C9" s="71" t="n"/>
    </row>
    <row r="10" ht="44" customHeight="1">
      <c r="A10" s="34" t="inlineStr">
        <is>
          <t>Thời điểm thực hiện (kèm múi giờ)</t>
        </is>
      </c>
      <c r="B10" s="57" t="inlineStr"/>
      <c r="C10" s="71" t="n"/>
    </row>
    <row r="11" ht="78" customHeight="1">
      <c r="A11" s="34" t="inlineStr">
        <is>
          <t>Phạm vi</t>
        </is>
      </c>
      <c r="B11" s="56" t="inlineStr">
        <is>
          <t>SYN:O1–O8; boundary, deletion, incomplete/stale rule, AND controls
Chuẩn bị: TD-SC create/verify/reset once per variant; G-PREP retains unknown entry/readback seams
Điều kiện bắt đầu: G-PREP resolved before readiness; do not infer from source fixture
Điều kiện kết thúc: Every requested variant/checkpoint observed; no invented PASS</t>
        </is>
      </c>
    </row>
    <row r="12" ht="30" customHeight="1">
      <c r="A12" s="34" t="inlineStr">
        <is>
          <t>Ngoài phạm vi</t>
        </is>
      </c>
      <c r="B12" s="56" t="inlineStr">
        <is>
          <t>None of the eight source obligations; real BLEND QA is outside this synthetic fixture</t>
        </is>
      </c>
    </row>
    <row r="13" ht="61" customHeight="1">
      <c r="A13" s="34" t="inlineStr">
        <is>
          <t>Giới hạn</t>
        </is>
      </c>
      <c r="B13" s="56" t="inlineStr">
        <is>
          <t>G-PREP: concrete browser/request seams are not verified
1 khoảng trống được giữ trong Điều kiện kiểm thử của các testcase tương ứng.
5 testcase chưa có URL màn hình tương đối được xác minh.</t>
        </is>
      </c>
    </row>
    <row r="14" ht="44" customHeight="1">
      <c r="A14" s="34" t="inlineStr"/>
      <c r="B14" s="56" t="inlineStr"/>
    </row>
    <row r="15" ht="32" customHeight="1">
      <c r="A15" s="37" t="inlineStr">
        <is>
          <t>Tiến độ và kết quả</t>
        </is>
      </c>
      <c r="B15" s="8" t="n"/>
    </row>
    <row r="16" ht="32" customHeight="1">
      <c r="A16" s="38" t="inlineStr">
        <is>
          <t>Số TC</t>
        </is>
      </c>
      <c r="B16" s="58">
        <f>1</f>
        <v/>
      </c>
    </row>
    <row r="17" ht="32" customHeight="1">
      <c r="A17" s="38" t="inlineStr">
        <is>
          <t>Số biến thể</t>
        </is>
      </c>
      <c r="B17" s="58">
        <f>2</f>
        <v/>
      </c>
    </row>
    <row r="18" ht="32" customHeight="1">
      <c r="A18" s="38" t="inlineStr">
        <is>
          <t>TC PASS</t>
        </is>
      </c>
      <c r="B18" s="58">
        <f>COUNTIF(C30:C30,"Đạt")</f>
        <v/>
      </c>
    </row>
    <row r="19" ht="32" customHeight="1">
      <c r="A19" s="38" t="inlineStr">
        <is>
          <t>TC FAIL</t>
        </is>
      </c>
      <c r="B19" s="58">
        <f>COUNTIF(C30:C30,"Không đạt")</f>
        <v/>
      </c>
    </row>
    <row r="20" ht="32" customHeight="1">
      <c r="A20" s="38" t="inlineStr">
        <is>
          <t>Biến thể bị chặn</t>
        </is>
      </c>
      <c r="B20" s="58">
        <f>SUM('Testcases'!B90)</f>
        <v/>
      </c>
    </row>
    <row r="21" ht="32" customHeight="1">
      <c r="A21" s="38" t="inlineStr">
        <is>
          <t>Biến thể không thực hiện</t>
        </is>
      </c>
      <c r="B21" s="58">
        <f>SUM('Testcases'!B91)</f>
        <v/>
      </c>
    </row>
    <row r="22" ht="32" customHeight="1">
      <c r="A22" s="38" t="inlineStr">
        <is>
          <t>Biến thể chưa thực hiện</t>
        </is>
      </c>
      <c r="B22" s="58">
        <f>SUM('Testcases'!B92)</f>
        <v/>
      </c>
    </row>
    <row r="23" ht="52" customHeight="1">
      <c r="A23" s="38" t="inlineStr">
        <is>
          <t>TC đã đánh giá</t>
        </is>
      </c>
      <c r="B23" s="58">
        <f>B18+B19</f>
        <v/>
      </c>
    </row>
    <row r="24" ht="52" customHeight="1">
      <c r="A24" s="38" t="inlineStr">
        <is>
          <t>Tỷ lệ PASS theo TC</t>
        </is>
      </c>
      <c r="B24" s="59">
        <f>IF(B23=0,"Chưa có dữ liệu",B18/B23)</f>
        <v/>
      </c>
    </row>
    <row r="25" ht="52" customHeight="1">
      <c r="A25" s="38" t="inlineStr">
        <is>
          <t>Tiến độ theo TC</t>
        </is>
      </c>
      <c r="B25" s="59">
        <f>IF(B16=0,"Chưa có dữ liệu",B23/B16)</f>
        <v/>
      </c>
    </row>
    <row r="26" ht="32" customHeight="1">
      <c r="A26" s="38" t="inlineStr">
        <is>
          <t>TC chưa PASS</t>
        </is>
      </c>
      <c r="B26" s="58">
        <f>B16-B18</f>
        <v/>
      </c>
    </row>
    <row r="27" ht="32" customHeight="1">
      <c r="A27" s="38" t="inlineStr">
        <is>
          <t>Trạng thái biến thể không hợp lệ</t>
        </is>
      </c>
      <c r="B27" s="58">
        <f>B17-SUM(B20:B22,SUM('Testcases'!B88),SUM('Testcases'!B89))</f>
        <v/>
      </c>
    </row>
    <row r="28" ht="32" customHeight="1">
      <c r="A28" s="3" t="n"/>
      <c r="B28" s="3" t="n"/>
    </row>
    <row r="29" ht="32" customHeight="1">
      <c r="A29" s="37" t="inlineStr">
        <is>
          <t>Mã TC</t>
        </is>
      </c>
      <c r="B29" s="37" t="inlineStr">
        <is>
          <t>Testcase</t>
        </is>
      </c>
      <c r="C29" s="37" t="inlineStr">
        <is>
          <t>Trạng thái tổng hợp</t>
        </is>
      </c>
    </row>
  </sheetData>
  <autoFilter ref="A29:C30"/>
  <mergeCells count="12">
    <mergeCell ref="B13:C13"/>
    <mergeCell ref="B6:C6"/>
    <mergeCell ref="B7:C7"/>
    <mergeCell ref="B11:C11"/>
    <mergeCell ref="B5:C5"/>
    <mergeCell ref="B10:C10"/>
    <mergeCell ref="B14:C14"/>
    <mergeCell ref="B9:C9"/>
    <mergeCell ref="B8:C8"/>
    <mergeCell ref="A3:B3"/>
    <mergeCell ref="B4:C4"/>
    <mergeCell ref="B12:C12"/>
  </mergeCells>
  <printOptions horizontalCentered="0"/>
  <pageMargins left="0.7" right="0.7" top="0.75" bottom="0.75" header="0.3" footer="0.3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tabColor rgb="0064748B"/>
    <outlinePr summaryBelow="0" summaryRight="1"/>
    <pageSetUpPr fitToPage="1"/>
  </sheetPr>
  <dimension ref="A1:E4"/>
  <sheetViews>
    <sheetView showGridLines="0"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23" customWidth="1" min="1" max="1"/>
    <col width="28" customWidth="1" min="2" max="2"/>
    <col width="28" customWidth="1" min="3" max="3"/>
    <col width="40" customWidth="1" min="4" max="4"/>
    <col width="18" customWidth="1" min="5" max="5"/>
    <col width="18" customWidth="1" min="6" max="6"/>
    <col width="28" customWidth="1" min="7" max="7"/>
  </cols>
  <sheetData>
    <row r="1" ht="32" customHeight="1">
      <c r="A1" s="77" t="inlineStr">
        <is>
          <t>Kiểm thử chi tiết</t>
        </is>
      </c>
      <c r="B1" s="78" t="n"/>
      <c r="C1" s="78" t="n"/>
      <c r="D1" s="78" t="n"/>
      <c r="E1" s="78" t="n"/>
    </row>
    <row r="2" ht="42" customHeight="1">
      <c r="A2" s="79" t="inlineStr"/>
      <c r="B2" s="78" t="n"/>
      <c r="C2" s="78" t="n"/>
      <c r="D2" s="78" t="n"/>
      <c r="E2" s="78" t="n"/>
    </row>
    <row r="3" ht="12" customHeight="1">
      <c r="A3" s="78" t="n"/>
      <c r="B3" s="78" t="n"/>
      <c r="C3" s="78" t="n"/>
      <c r="D3" s="78" t="n"/>
      <c r="E3" s="78" t="n"/>
    </row>
    <row r="4" ht="8" customHeight="1">
      <c r="A4" s="80" t="n"/>
      <c r="B4" s="78" t="n"/>
      <c r="C4" s="78" t="n"/>
      <c r="D4" s="78" t="n"/>
      <c r="E4" s="78" t="n"/>
    </row>
  </sheetData>
  <mergeCells count="1">
    <mergeCell ref="A2:E2"/>
  </mergeCells>
  <dataValidations count="1">
    <dataValidation sqref="E15 E16" showDropDown="0" showInputMessage="0" showErrorMessage="1" allowBlank="0" type="list">
      <formula1>"Đạt,Không đạt,Bị chặn,Không thực hiện,Chưa thực hiện"</formula1>
    </dataValidation>
  </dataValidations>
  <printOptions horizontalCentered="0"/>
  <pageMargins left="0.7" right="0.7" top="0.75" bottom="0.75" header="0.3" footer="0.3"/>
  <pageSetup orientation="portrait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2026-10-04T11:11:31Z</dcterms:created>
  <dcterms:modified xsi:type="dcterms:W3CDTF">2026-10-05T17:01:44Z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emplateFamily" fmtid="{D5CDD505-2E9C-101B-9397-08002B2CF9AE}" pid="2">
    <vt:lpwstr>test-report</vt:lpwstr>
  </property>
  <property name="TemplateVersion" fmtid="{D5CDD505-2E9C-101B-9397-08002B2CF9AE}" pid="3">
    <vt:lpwstr>2.4.0</vt:lpwstr>
  </property>
  <property name="Language" fmtid="{D5CDD505-2E9C-101B-9397-08002B2CF9AE}" pid="4">
    <vt:lpwstr>vi</vt:lpwstr>
  </property>
</Properties>
</file>