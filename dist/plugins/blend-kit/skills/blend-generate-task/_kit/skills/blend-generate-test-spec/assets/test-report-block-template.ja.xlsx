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ns0:workbook xmlns:ns0="http://schemas.openxmlformats.org/spreadsheetml/2006/main" xmlns:ns1="http://schemas.openxmlformats.org/officeDocument/2006/relationships">
  <ns0:workbookPr filterPrivacy="1"/>
  <ns0:bookViews>
    <ns0:workbookView visibility="visible" minimized="0" showHorizontalScroll="1" showVerticalScroll="1" showSheetTabs="1" xWindow="28680" yWindow="-2025" windowWidth="29040" windowHeight="17520" tabRatio="600" firstSheet="0" activeTab="0" autoFilterDateGrouping="1"/>
  </ns0:bookViews>
  <ns0:sheets>
    <ns0:sheet name="概要" sheetId="1" state="visible" ns1:id="rId1"/>
    <ns0:sheet name="テストケース" sheetId="2" state="visible" ns1:id="rId2"/>
  </ns0:sheets>
  <ns0:definedNames>
    <ns0:definedName name="_xlnm.Print_Area" localSheetId="1">'テストケース'!$A$1:$E$21</ns0:definedName>
  </ns0:definedNames>
  <ns0:calcPr calcId="181029" fullCalcOnLoad="1"/>
</ns0: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rlito"/>
      <sz val="11"/>
    </font>
    <font>
      <name val="Yu Gothic"/>
      <color rgb="FF172033"/>
      <sz val="11"/>
    </font>
    <font>
      <name val="Yu Gothic"/>
      <b val="1"/>
      <color rgb="FF172033"/>
      <sz val="15"/>
    </font>
    <font>
      <name val="Yu Gothic"/>
      <b val="1"/>
      <color rgb="FF172033"/>
      <sz val="11"/>
    </font>
    <font>
      <name val="Yu Gothic"/>
      <b val="1"/>
      <color rgb="FFFFFFFF"/>
      <sz val="11"/>
    </font>
    <font>
      <name val="Yu Gothic"/>
      <color rgb="FF475569"/>
      <sz val="11"/>
    </font>
    <font>
      <name val="Yu Gothic"/>
      <b val="1"/>
      <color rgb="00172033"/>
      <sz val="16"/>
    </font>
    <font>
      <name val="Yu Gothic"/>
      <b val="1"/>
      <sz val="11"/>
    </font>
    <font>
      <name val="Yu Gothic"/>
      <color rgb="00475569"/>
      <sz val="10"/>
    </font>
    <font>
      <name val="Yu Gothic"/>
      <b val="1"/>
      <color rgb="00FFFFFF"/>
      <sz val="14"/>
    </font>
    <font>
      <name val="Yu Gothic"/>
      <b val="1"/>
      <color rgb="00172033"/>
      <sz val="11"/>
    </font>
  </fonts>
  <fills count="9">
    <fill>
      <patternFill/>
    </fill>
    <fill>
      <patternFill patternType="gray125"/>
    </fill>
    <fill>
      <patternFill patternType="solid">
        <fgColor rgb="FFFFF3CD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00334155"/>
      </patternFill>
    </fill>
    <fill>
      <patternFill patternType="solid">
        <fgColor rgb="00FFF3CD"/>
      </patternFill>
    </fill>
    <fill>
      <patternFill patternType="solid">
        <fgColor rgb="00E8EEF5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thin">
        <color rgb="00D9E2EC"/>
      </bottom>
    </border>
    <border>
      <left/>
      <right/>
      <top/>
      <bottom style="thin">
        <color rgb="00D9E2E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3" fontId="1" fillId="4" borderId="0" applyAlignment="1" pivotButton="0" quotePrefix="0" xfId="0">
      <alignment horizontal="left" vertical="top" wrapText="1"/>
    </xf>
    <xf numFmtId="164" fontId="1" fillId="4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5" borderId="0" applyAlignment="1" pivotButton="0" quotePrefix="0" xfId="0">
      <alignment vertical="center" wrapText="1"/>
    </xf>
    <xf numFmtId="0" fontId="0" fillId="5" borderId="0" pivotButton="0" quotePrefix="0" xfId="0"/>
    <xf numFmtId="0" fontId="1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0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top" wrapText="1"/>
    </xf>
    <xf numFmtId="0" fontId="0" fillId="8" borderId="0" pivotButton="0" quotePrefix="0" xfId="0"/>
    <xf numFmtId="0" fontId="4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3" fontId="1" fillId="4" borderId="0" applyAlignment="1" pivotButton="0" quotePrefix="0" xfId="0">
      <alignment horizontal="left" vertical="center" wrapText="1"/>
    </xf>
    <xf numFmtId="164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C30"/>
  <sheetViews>
    <sheetView showGridLines="0" tabSelected="1" workbookViewId="0">
      <selection activeCell="A1" sqref="A1"/>
    </sheetView>
  </sheetViews>
  <sheetFormatPr baseColWidth="8" defaultRowHeight="14.25"/>
  <cols>
    <col width="26" customWidth="1" min="1" max="1"/>
    <col width="83" customWidth="1" min="2" max="2"/>
    <col width="22" customWidth="1" min="3" max="3"/>
  </cols>
  <sheetData>
    <row r="1" ht="32.1" customHeight="1">
      <c r="A1" s="25" t="inlineStr">
        <is>
          <t>テスト結果報告書</t>
        </is>
      </c>
      <c r="B1" s="10" t="n"/>
    </row>
    <row r="2" ht="12" customHeight="1">
      <c r="A2" s="10" t="n"/>
      <c r="B2" s="10" t="n"/>
    </row>
    <row r="3" ht="32.1" customHeight="1">
      <c r="A3" s="26" t="inlineStr">
        <is>
          <t>実行ID、アプリケーション版、環境、実施者、実施日時を入力します。</t>
        </is>
      </c>
    </row>
    <row r="4" ht="32.1" customHeight="1">
      <c r="A4" s="27" t="inlineStr">
        <is>
          <t>機能</t>
        </is>
      </c>
      <c r="B4" s="10" t="n"/>
    </row>
    <row r="5" ht="32.1" customHeight="1">
      <c r="A5" s="27" t="inlineStr">
        <is>
          <t>テスト設計版</t>
        </is>
      </c>
      <c r="B5" s="10" t="n"/>
    </row>
    <row r="6" ht="32.1" customHeight="1">
      <c r="A6" s="27" t="inlineStr">
        <is>
          <t>テスト実行ID</t>
        </is>
      </c>
      <c r="B6" s="28" t="n"/>
      <c r="C6" s="29" t="n"/>
    </row>
    <row r="7" ht="32.1" customHeight="1">
      <c r="A7" s="27" t="inlineStr">
        <is>
          <t>アプリケーション版</t>
        </is>
      </c>
      <c r="B7" s="28" t="n"/>
      <c r="C7" s="29" t="n"/>
    </row>
    <row r="8" ht="32.1" customHeight="1">
      <c r="A8" s="27" t="inlineStr">
        <is>
          <t>環境</t>
        </is>
      </c>
      <c r="B8" s="28" t="n"/>
      <c r="C8" s="29" t="n"/>
    </row>
    <row r="9" ht="32.1" customHeight="1">
      <c r="A9" s="27" t="inlineStr">
        <is>
          <t>実施者</t>
        </is>
      </c>
      <c r="B9" s="28" t="n"/>
      <c r="C9" s="29" t="n"/>
    </row>
    <row r="10" ht="32.1" customHeight="1">
      <c r="A10" s="27" t="inlineStr">
        <is>
          <t>実施日時（タイムゾーン付き）</t>
        </is>
      </c>
      <c r="B10" s="28" t="n"/>
      <c r="C10" s="29" t="n"/>
    </row>
    <row r="11" ht="32.1" customHeight="1">
      <c r="A11" s="27" t="inlineStr">
        <is>
          <t>対象範囲</t>
        </is>
      </c>
      <c r="B11" s="10" t="n"/>
    </row>
    <row r="12" ht="32.1" customHeight="1">
      <c r="A12" s="27" t="inlineStr">
        <is>
          <t>対象外</t>
        </is>
      </c>
      <c r="B12" s="10" t="n"/>
    </row>
    <row r="13" ht="32.1" customHeight="1">
      <c r="A13" s="27" t="inlineStr">
        <is>
          <t>制限事項</t>
        </is>
      </c>
      <c r="B13" s="10" t="n"/>
    </row>
    <row r="14" ht="65.09999999999999" customHeight="1">
      <c r="A14" s="27" t="inlineStr">
        <is>
          <t>ケース別の実行準備</t>
        </is>
      </c>
      <c r="B14" s="10" t="n"/>
    </row>
    <row r="15" ht="32.1" customHeight="1">
      <c r="A15" s="30" t="inlineStr">
        <is>
          <t>進捗と結果</t>
        </is>
      </c>
      <c r="B15" s="5" t="n"/>
    </row>
    <row r="16" ht="32.1" customHeight="1">
      <c r="A16" s="31" t="inlineStr">
        <is>
          <t>ケース数</t>
        </is>
      </c>
      <c r="B16" s="32">
        <f>COUNTA(A30:A30)</f>
        <v/>
      </c>
    </row>
    <row r="17" ht="32.1" customHeight="1">
      <c r="A17" s="31" t="inlineStr">
        <is>
          <t>バリエーション数</t>
        </is>
      </c>
      <c r="B17" s="32">
        <f>COUNTA(テスト!$A$5:$A$5)</f>
        <v/>
      </c>
    </row>
    <row r="18" ht="32.1" customHeight="1">
      <c r="A18" s="31" t="inlineStr">
        <is>
          <t>対象条件を満たす合格判定数</t>
        </is>
      </c>
      <c r="B18" s="32">
        <f>0</f>
        <v/>
      </c>
    </row>
    <row r="19" ht="32.1" customHeight="1">
      <c r="A19" s="31" t="inlineStr">
        <is>
          <t>対象条件を満たす不合格判定数</t>
        </is>
      </c>
      <c r="B19" s="32">
        <f>0</f>
        <v/>
      </c>
    </row>
    <row r="20" ht="32.1" customHeight="1">
      <c r="A20" s="31" t="inlineStr">
        <is>
          <t>実行不可数</t>
        </is>
      </c>
      <c r="B20" s="32">
        <f>0</f>
        <v/>
      </c>
    </row>
    <row r="21" ht="32.1" customHeight="1">
      <c r="A21" s="31" t="inlineStr">
        <is>
          <t>実行省略数</t>
        </is>
      </c>
      <c r="B21" s="32">
        <f>0</f>
        <v/>
      </c>
    </row>
    <row r="22" ht="32.1" customHeight="1">
      <c r="A22" s="31" t="inlineStr">
        <is>
          <t>未実行数</t>
        </is>
      </c>
      <c r="B22" s="32">
        <f>0</f>
        <v/>
      </c>
    </row>
    <row r="23" ht="66" customHeight="1">
      <c r="A23" s="31" t="inlineStr">
        <is>
          <t>対象条件を満たす合否判定数</t>
        </is>
      </c>
      <c r="B23" s="32">
        <f>B18+B19</f>
        <v/>
      </c>
    </row>
    <row r="24" ht="66" customHeight="1">
      <c r="A24" s="31" t="inlineStr">
        <is>
          <t>合格数 / 対象条件を満たす合否判定数</t>
        </is>
      </c>
      <c r="B24" s="33">
        <f>IF(B23=0,"データなし",B18/B23)</f>
        <v/>
      </c>
    </row>
    <row r="25" ht="66" customHeight="1">
      <c r="A25" s="31" t="inlineStr">
        <is>
          <t>対象条件を満たす合否判定数 / 全バリエーション数</t>
        </is>
      </c>
      <c r="B25" s="33">
        <f>IF(B17=0,"データなし",B23/B17)</f>
        <v/>
      </c>
    </row>
    <row r="26" ht="32.1" customHeight="1">
      <c r="A26" s="31" t="inlineStr">
        <is>
          <t>合格未確認数</t>
        </is>
      </c>
      <c r="B26" s="32">
        <f>B17-B18</f>
        <v/>
      </c>
    </row>
    <row r="27" ht="32.1" customHeight="1">
      <c r="A27" s="31" t="inlineStr">
        <is>
          <t>無効な状態数</t>
        </is>
      </c>
      <c r="B27" s="32">
        <f>B17-SUM(0,0,0,0,0)</f>
        <v/>
      </c>
    </row>
    <row r="28" ht="32.1" customHeight="1">
      <c r="A28" s="10" t="n"/>
      <c r="B28" s="10" t="n"/>
    </row>
    <row r="29" ht="32.1" customHeight="1">
      <c r="A29" s="30" t="inlineStr">
        <is>
          <t>テストID</t>
        </is>
      </c>
      <c r="B29" s="30" t="inlineStr">
        <is>
          <t>テストケース</t>
        </is>
      </c>
      <c r="C29" s="30" t="inlineStr">
        <is>
          <t>集計状態</t>
        </is>
      </c>
    </row>
    <row r="30" ht="32.1" customHeight="1">
      <c r="A30" s="10" t="n"/>
      <c r="B30" s="10" t="n"/>
    </row>
  </sheetData>
  <mergeCells count="12">
    <mergeCell ref="B13:C13"/>
    <mergeCell ref="B6:C6"/>
    <mergeCell ref="B7:C7"/>
    <mergeCell ref="B11:C11"/>
    <mergeCell ref="B5:C5"/>
    <mergeCell ref="B10:C10"/>
    <mergeCell ref="B14:C14"/>
    <mergeCell ref="B9:C9"/>
    <mergeCell ref="B8:C8"/>
    <mergeCell ref="A3:B3"/>
    <mergeCell ref="B4:C4"/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64748B"/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23" customWidth="1" min="1" max="1"/>
    <col width="24" customWidth="1" min="2" max="2"/>
    <col width="26" customWidth="1" min="3" max="5"/>
    <col width="14" customWidth="1" min="4" max="4"/>
    <col width="45" customWidth="1" min="5" max="5"/>
    <col width="17" customWidth="1" min="6" max="6"/>
    <col width="28" customWidth="1" min="7" max="7"/>
  </cols>
  <sheetData>
    <row r="1" ht="32.1" customHeight="1">
      <c r="A1" s="37" t="inlineStr">
        <is>
          <t>テストケース配置例</t>
        </is>
      </c>
    </row>
    <row r="2" ht="42" customHeight="1">
      <c r="A2" s="38" t="inlineStr">
        <is>
          <t>以下は表示形式の例であり、実際のテストケースではありません。生成時に例を削除してソースの内容を書き込みます。</t>
        </is>
      </c>
    </row>
    <row r="3" ht="12" customHeight="1"/>
    <row r="4" ht="8" customHeight="1">
      <c r="A4" s="13" t="n"/>
    </row>
    <row r="5" ht="34" customHeight="1">
      <c r="A5" s="39" t="inlineStr">
        <is>
          <t>[TC-ID] — [テストケース名]</t>
        </is>
      </c>
      <c r="B5" s="16" t="n"/>
      <c r="C5" s="16" t="n"/>
      <c r="D5" s="16" t="n"/>
      <c r="E5" s="16" t="n"/>
    </row>
    <row r="6">
      <c r="A6" s="40" t="inlineStr">
        <is>
          <t>状態</t>
        </is>
      </c>
      <c r="B6" s="41" t="inlineStr">
        <is>
          <t>未実行</t>
        </is>
      </c>
      <c r="C6" s="19" t="n"/>
      <c r="D6" s="19" t="n"/>
      <c r="E6" s="19" t="n"/>
    </row>
    <row r="7">
      <c r="A7" s="40" t="inlineStr">
        <is>
          <t>画面・機能</t>
        </is>
      </c>
      <c r="B7" s="42" t="inlineStr">
        <is>
          <t>[画面・機能名]</t>
        </is>
      </c>
      <c r="C7" s="19" t="n"/>
      <c r="D7" s="40" t="inlineStr">
        <is>
          <t>相対URL</t>
        </is>
      </c>
      <c r="E7" s="42" t="inlineStr">
        <is>
          <t>[/relative/path]</t>
        </is>
      </c>
    </row>
    <row r="8" ht="28" customHeight="1">
      <c r="A8" s="43" t="inlineStr">
        <is>
          <t>テスト条件</t>
        </is>
      </c>
      <c r="B8" s="23" t="n"/>
      <c r="C8" s="23" t="n"/>
      <c r="D8" s="23" t="n"/>
      <c r="E8" s="23" t="n"/>
    </row>
    <row r="9">
      <c r="A9" s="40" t="inlineStr">
        <is>
          <t>設定</t>
        </is>
      </c>
      <c r="B9" s="42" t="inlineStr">
        <is>
          <t>• [初期条件・状態]</t>
        </is>
      </c>
      <c r="C9" s="19" t="n"/>
      <c r="D9" s="19" t="n"/>
      <c r="E9" s="19" t="n"/>
    </row>
    <row r="10">
      <c r="A10" s="40" t="inlineStr">
        <is>
          <t>役割・権限</t>
        </is>
      </c>
      <c r="B10" s="42" t="inlineStr">
        <is>
          <t>• [必要な役割・権限]</t>
        </is>
      </c>
      <c r="C10" s="19" t="n"/>
      <c r="D10" s="19" t="n"/>
      <c r="E10" s="19" t="n"/>
    </row>
    <row r="11">
      <c r="A11" s="40" t="inlineStr">
        <is>
          <t>テストデータ</t>
        </is>
      </c>
      <c r="B11" s="42" t="inlineStr">
        <is>
          <t>• [テストデータ・値]</t>
        </is>
      </c>
      <c r="C11" s="19" t="n"/>
      <c r="D11" s="19" t="n"/>
      <c r="E11" s="19" t="n"/>
    </row>
    <row r="12" ht="28" customHeight="1">
      <c r="A12" s="43" t="inlineStr">
        <is>
          <t>操作</t>
        </is>
      </c>
      <c r="B12" s="23" t="n"/>
      <c r="C12" s="23" t="n"/>
      <c r="D12" s="23" t="n"/>
      <c r="E12" s="23" t="n"/>
    </row>
    <row r="13">
      <c r="A13" s="40" t="inlineStr">
        <is>
          <t>ステップ 1</t>
        </is>
      </c>
      <c r="B13" s="42" t="inlineStr">
        <is>
          <t>[最初の操作]</t>
        </is>
      </c>
      <c r="C13" s="19" t="n"/>
      <c r="D13" s="19" t="n"/>
      <c r="E13" s="19" t="n"/>
    </row>
    <row r="14">
      <c r="A14" s="40" t="inlineStr">
        <is>
          <t>ステップ 2</t>
        </is>
      </c>
      <c r="B14" s="42" t="inlineStr">
        <is>
          <t>[次の操作]</t>
        </is>
      </c>
      <c r="C14" s="19" t="n"/>
      <c r="D14" s="19" t="n"/>
      <c r="E14" s="19" t="n"/>
    </row>
    <row r="15" ht="28" customHeight="1">
      <c r="A15" s="43" t="inlineStr">
        <is>
          <t>期待結果</t>
        </is>
      </c>
      <c r="B15" s="23" t="n"/>
      <c r="C15" s="23" t="n"/>
      <c r="D15" s="23" t="n"/>
      <c r="E15" s="23" t="n"/>
    </row>
    <row r="16">
      <c r="A16" s="40" t="inlineStr">
        <is>
          <t>1.</t>
        </is>
      </c>
      <c r="B16" s="42" t="inlineStr">
        <is>
          <t>[比較可能な期待結果]</t>
        </is>
      </c>
      <c r="C16" s="19" t="n"/>
      <c r="D16" s="19" t="n"/>
      <c r="E16" s="19" t="n"/>
    </row>
    <row r="17">
      <c r="A17" s="40" t="inlineStr">
        <is>
          <t>2.</t>
        </is>
      </c>
      <c r="B17" s="42" t="inlineStr">
        <is>
          <t>[維持すべき動作・データ]</t>
        </is>
      </c>
      <c r="C17" s="19" t="n"/>
      <c r="D17" s="19" t="n"/>
      <c r="E17" s="19" t="n"/>
    </row>
    <row r="18" ht="28" customHeight="1">
      <c r="A18" s="43" t="inlineStr">
        <is>
          <t>実際の結果</t>
        </is>
      </c>
      <c r="B18" s="23" t="n"/>
      <c r="C18" s="23" t="n"/>
      <c r="D18" s="23" t="n"/>
      <c r="E18" s="23" t="n"/>
    </row>
    <row r="19" ht="64" customHeight="1">
      <c r="A19" s="36" t="n"/>
      <c r="B19" s="19" t="n"/>
      <c r="C19" s="19" t="n"/>
      <c r="D19" s="19" t="n"/>
      <c r="E19" s="19" t="n"/>
    </row>
    <row r="20">
      <c r="A20" s="40" t="inlineStr">
        <is>
          <t>証拠画像</t>
        </is>
      </c>
      <c r="B20" s="19" t="n"/>
      <c r="C20" s="19" t="n"/>
      <c r="D20" s="19" t="n"/>
      <c r="E20" s="19" t="n"/>
    </row>
    <row r="21" ht="90" customHeight="1">
      <c r="A21" s="36" t="n"/>
      <c r="B21" s="19" t="n"/>
      <c r="C21" s="19" t="n"/>
      <c r="D21" s="19" t="n"/>
      <c r="E21" s="19" t="n"/>
    </row>
  </sheetData>
  <mergeCells count="17">
    <mergeCell ref="A21:E21"/>
    <mergeCell ref="B9:E9"/>
    <mergeCell ref="A12:E12"/>
    <mergeCell ref="B7:C7"/>
    <mergeCell ref="A2:E2"/>
    <mergeCell ref="A15:E15"/>
    <mergeCell ref="A5:E5"/>
    <mergeCell ref="B11:E11"/>
    <mergeCell ref="A8:E8"/>
    <mergeCell ref="B14:E14"/>
    <mergeCell ref="B17:E17"/>
    <mergeCell ref="A20:E20"/>
    <mergeCell ref="B13:E13"/>
    <mergeCell ref="B16:E16"/>
    <mergeCell ref="A19:E19"/>
    <mergeCell ref="B10:E10"/>
    <mergeCell ref="A18:E18"/>
  </mergeCells>
  <dataValidations count="1">
    <dataValidation sqref="B6" showDropDown="0" showInputMessage="0" showErrorMessage="0" allowBlank="0" type="list">
      <formula1>"合格,不合格,実行不可,実行省略,未実行"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2026-10-04T13:36:23Z</dcterms:created>
  <dcterms:modified xmlns:dcterms="http://purl.org/dc/terms/" xmlns:xsi="http://www.w3.org/2001/XMLSchema-instance" xsi:type="dcterms:W3CDTF">2026-10-04T15:47:39Z</dcterms:modified>
</cp:coreProperties>
</file>

<file path=docProps/custom.xml><?xml version="1.0" encoding="utf-8"?>
<Properties xmlns="http://schemas.openxmlformats.org/officeDocument/2006/custom-properties">
  <property name="TemplateFamily" fmtid="{D5CDD505-2E9C-101B-9397-08002B2CF9AE}" pid="2">
    <vt:lpwstr xmlns:vt="http://schemas.openxmlformats.org/officeDocument/2006/docPropsVTypes">test-report</vt:lpwstr>
  </property>
  <property name="TemplateVersion" fmtid="{D5CDD505-2E9C-101B-9397-08002B2CF9AE}" pid="3">
    <vt:lpwstr xmlns:vt="http://schemas.openxmlformats.org/officeDocument/2006/docPropsVTypes">2.0.0</vt:lpwstr>
  </property>
  <property name="Language" fmtid="{D5CDD505-2E9C-101B-9397-08002B2CF9AE}" pid="4">
    <vt:lpwstr xmlns:vt="http://schemas.openxmlformats.org/officeDocument/2006/docPropsVTypes">ja</vt:lpwstr>
  </property>
</Properties>
</file>