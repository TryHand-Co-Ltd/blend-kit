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13_ncr:1_{F247F168-6E59-4B9A-A9F0-F6BEDEA3A695}" xr6:coauthVersionLast="47" xr6:coauthVersionMax="47" xr10:uidLastSave="{00000000-0000-0000-0000-000000000000}"/>
  <bookViews>
    <workbookView xWindow="28680" yWindow="-2025" windowWidth="29040" windowHeight="17520" xr2:uid="{00000000-000D-0000-FFFF-FFFF00000000}"/>
  </bookViews>
  <sheets>
    <sheet name="概要" sheetId="1" r:id="rId1"/>
    <sheet name="テスト" sheetId="2" r:id="rId2"/>
  </sheets>
  <calcPr calcId="181029"/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23" i="1" s="1"/>
  <c r="B24" i="1" s="1"/>
  <c r="B17" i="1"/>
  <c r="B16" i="1"/>
  <c r="B26" i="1" l="1"/>
  <c r="B25" i="1"/>
  <c r="B27" i="1"/>
</calcChain>
</file>

<file path=xl/sharedStrings.xml><?xml version="1.0" encoding="utf-8"?>
<sst xmlns="http://schemas.openxmlformats.org/spreadsheetml/2006/main" count="37" uniqueCount="36">
  <si>
    <t>テスト結果報告書</t>
  </si>
  <si>
    <t>実行ID、アプリケーション版、環境、実施者、実施日時を入力します。</t>
  </si>
  <si>
    <t>機能</t>
  </si>
  <si>
    <t>テスト設計版</t>
  </si>
  <si>
    <t>テスト実行ID</t>
  </si>
  <si>
    <t>アプリケーション版</t>
  </si>
  <si>
    <t>環境</t>
  </si>
  <si>
    <t>実施者</t>
  </si>
  <si>
    <t>実施日時（タイムゾーン付き）</t>
  </si>
  <si>
    <t>対象範囲</t>
  </si>
  <si>
    <t>対象外</t>
  </si>
  <si>
    <t>制限事項</t>
  </si>
  <si>
    <t>進捗と結果</t>
  </si>
  <si>
    <t>ケース数</t>
  </si>
  <si>
    <t>バリエーション数</t>
  </si>
  <si>
    <t>対象条件を満たす合格判定数</t>
  </si>
  <si>
    <t>対象条件を満たす不合格判定数</t>
  </si>
  <si>
    <t>実行不可数</t>
  </si>
  <si>
    <t>実行省略数</t>
  </si>
  <si>
    <t>未実行数</t>
  </si>
  <si>
    <t>対象条件を満たす合否判定数</t>
  </si>
  <si>
    <t>合格数 / 対象条件を満たす合否判定数</t>
  </si>
  <si>
    <t>対象条件を満たす合否判定数 / 全バリエーション数</t>
  </si>
  <si>
    <t>合格未確認数</t>
  </si>
  <si>
    <t>無効な状態数</t>
  </si>
  <si>
    <t>テストケース</t>
  </si>
  <si>
    <t>状態</t>
  </si>
  <si>
    <t>テスト</t>
  </si>
  <si>
    <t>テストID</t>
  </si>
  <si>
    <t>画面・機能</t>
  </si>
  <si>
    <t>条件・操作</t>
  </si>
  <si>
    <t>期待結果</t>
  </si>
  <si>
    <t>実際の結果</t>
  </si>
  <si>
    <t>証拠・不具合</t>
  </si>
  <si>
    <t>ケース別の実行準備</t>
  </si>
  <si>
    <t>実際の結果と状態を入力し、証拠・不具合の先頭行に HTTPS のURL、合格以外は続く行に理由と次の対応を記入します。対象外は実行省略とし、期待結果が確定し実行可能で、結果とURLを記入した合否判定のみ集計します。 抜粋は一覧確認用です。実行前にリンク先の全文を確認してください。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</si>
</sst>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name val="Carlito"/>
    </font>
    <font>
      <sz val="11"/>
      <color rgb="FF172033"/>
      <name val="Yu Gothic"/>
    </font>
    <font>
      <b/>
      <sz val="15"/>
      <color rgb="FF172033"/>
      <name val="Yu Gothic"/>
    </font>
    <font>
      <b/>
      <sz val="11"/>
      <color rgb="FF172033"/>
      <name val="Yu Gothic"/>
    </font>
    <font>
      <b/>
      <sz val="11"/>
      <color rgb="FFFFFFFF"/>
      <name val="Yu Gothic"/>
    </font>
    <font>
      <sz val="11"/>
      <color rgb="FF475569"/>
      <name val="Yu Gothic"/>
    </font>
  </fonts>
  <fills count="5">
    <fill>
      <patternFill patternType="none"/>
    </fill>
    <fill>
      <patternFill patternType="gray125"/>
    </fill>
    <fill>
      <patternFill patternType="solid">
        <fgColor rgb="FFFFF3CD"/>
      </patternFill>
    </fill>
    <fill>
      <patternFill patternType="solid">
        <fgColor rgb="FF334155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3" fontId="1" fillId="4" borderId="0" xfId="0" applyNumberFormat="1" applyFont="1" applyFill="1" applyAlignment="1">
      <alignment horizontal="left" vertical="top" wrapText="1"/>
    </xf>
    <xf numFmtId="164" fontId="1" fillId="4" borderId="0" xfId="0" applyNumberFormat="1" applyFont="1" applyFill="1" applyAlignment="1">
      <alignment horizontal="left" vertical="top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showGridLines="0" tabSelected="1" workbookViewId="0"/>
  </sheetViews>
  <sheetFormatPr defaultRowHeight="14.25"/>
  <cols>
    <col min="1" max="1" width="42" customWidth="1"/>
    <col min="2" max="2" width="110" customWidth="1"/>
  </cols>
  <sheetData>
    <row r="1" spans="1:2" ht="32.1" customHeight="1">
      <c r="A1" s="2" t="s">
        <v>0</v>
      </c>
      <c r="B1" s="1"/>
    </row>
    <row r="2" spans="1:2" ht="12" customHeight="1">
      <c r="A2" s="1"/>
      <c r="B2" s="1"/>
    </row>
    <row r="3" spans="1:2" ht="32.1" customHeight="1">
      <c r="A3" s="9" t="s">
        <v>1</v>
      </c>
      <c r="B3" s="10"/>
    </row>
    <row r="4" spans="1:2" ht="32.1" customHeight="1">
      <c r="A4" s="3" t="s">
        <v>2</v>
      </c>
      <c r="B4" s="1"/>
    </row>
    <row r="5" spans="1:2" ht="32.1" customHeight="1">
      <c r="A5" s="3" t="s">
        <v>3</v>
      </c>
      <c r="B5" s="1"/>
    </row>
    <row r="6" spans="1:2" ht="32.1" customHeight="1">
      <c r="A6" s="3" t="s">
        <v>4</v>
      </c>
      <c r="B6" s="4"/>
    </row>
    <row r="7" spans="1:2" ht="32.1" customHeight="1">
      <c r="A7" s="3" t="s">
        <v>5</v>
      </c>
      <c r="B7" s="4"/>
    </row>
    <row r="8" spans="1:2" ht="32.1" customHeight="1">
      <c r="A8" s="3" t="s">
        <v>6</v>
      </c>
      <c r="B8" s="4"/>
    </row>
    <row r="9" spans="1:2" ht="32.1" customHeight="1">
      <c r="A9" s="3" t="s">
        <v>7</v>
      </c>
      <c r="B9" s="4"/>
    </row>
    <row r="10" spans="1:2" ht="32.1" customHeight="1">
      <c r="A10" s="3" t="s">
        <v>8</v>
      </c>
      <c r="B10" s="4"/>
    </row>
    <row r="11" spans="1:2" ht="32.1" customHeight="1">
      <c r="A11" s="3" t="s">
        <v>9</v>
      </c>
      <c r="B11" s="1"/>
    </row>
    <row r="12" spans="1:2" ht="32.1" customHeight="1">
      <c r="A12" s="3" t="s">
        <v>10</v>
      </c>
      <c r="B12" s="1"/>
    </row>
    <row r="13" spans="1:2" ht="32.1" customHeight="1">
      <c r="A13" s="3" t="s">
        <v>11</v>
      </c>
      <c r="B13" s="1"/>
    </row>
    <row r="14" spans="1:2" ht="65.099999999999994" customHeight="1">
      <c r="A14" s="3" t="s">
        <v>34</v>
      </c>
      <c r="B14" s="1"/>
    </row>
    <row r="15" spans="1:2" ht="32.1" customHeight="1">
      <c r="A15" s="5" t="s">
        <v>12</v>
      </c>
      <c r="B15" s="5"/>
    </row>
    <row r="16" spans="1:2" ht="32.1" customHeight="1">
      <c r="A16" s="1" t="s">
        <v>13</v>
      </c>
      <c r="B16" s="6">
        <f>COUNTA(A30:A30)</f>
        <v>0</v>
      </c>
    </row>
    <row r="17" spans="1:2" ht="32.1" customHeight="1">
      <c r="A17" s="1" t="s">
        <v>14</v>
      </c>
      <c r="B17" s="6">
        <f>COUNTA(テスト!$A$5:$A$5)</f>
        <v>0</v>
      </c>
    </row>
    <row r="18" spans="1:2" ht="32.1" customHeight="1">
      <c r="A18" s="1" t="s">
        <v>15</v>
      </c>
      <c r="B18" s="6">
        <f>0</f>
        <v>0</v>
      </c>
    </row>
    <row r="19" spans="1:2" ht="32.1" customHeight="1">
      <c r="A19" s="1" t="s">
        <v>16</v>
      </c>
      <c r="B19" s="6">
        <f>0</f>
        <v>0</v>
      </c>
    </row>
    <row r="20" spans="1:2" ht="32.1" customHeight="1">
      <c r="A20" s="1" t="s">
        <v>17</v>
      </c>
      <c r="B20" s="6">
        <f>0</f>
        <v>0</v>
      </c>
    </row>
    <row r="21" spans="1:2" ht="32.1" customHeight="1">
      <c r="A21" s="1" t="s">
        <v>18</v>
      </c>
      <c r="B21" s="6">
        <f>0</f>
        <v>0</v>
      </c>
    </row>
    <row r="22" spans="1:2" ht="32.1" customHeight="1">
      <c r="A22" s="1" t="s">
        <v>19</v>
      </c>
      <c r="B22" s="6">
        <f>0</f>
        <v>0</v>
      </c>
    </row>
    <row r="23" spans="1:2" ht="66" customHeight="1">
      <c r="A23" s="1" t="s">
        <v>20</v>
      </c>
      <c r="B23" s="6">
        <f>B18+B19</f>
        <v>0</v>
      </c>
    </row>
    <row r="24" spans="1:2" ht="66" customHeight="1">
      <c r="A24" s="1" t="s">
        <v>21</v>
      </c>
      <c r="B24" s="7" t="str">
        <f>IF(B23=0,"データなし",B18/B23)</f>
        <v>データなし</v>
      </c>
    </row>
    <row r="25" spans="1:2" ht="66" customHeight="1">
      <c r="A25" s="1" t="s">
        <v>22</v>
      </c>
      <c r="B25" s="7" t="str">
        <f>IF(B17=0,"データなし",B23/B17)</f>
        <v>データなし</v>
      </c>
    </row>
    <row r="26" spans="1:2" ht="32.1" customHeight="1">
      <c r="A26" s="1" t="s">
        <v>23</v>
      </c>
      <c r="B26" s="6">
        <f>B17-B18</f>
        <v>0</v>
      </c>
    </row>
    <row r="27" spans="1:2" ht="32.1" customHeight="1">
      <c r="A27" s="1" t="s">
        <v>24</v>
      </c>
      <c r="B27" s="6">
        <f>B17-SUM(0,0,0,0,0)</f>
        <v>0</v>
      </c>
    </row>
    <row r="28" spans="1:2" ht="32.1" customHeight="1">
      <c r="A28" s="1"/>
      <c r="B28" s="1"/>
    </row>
    <row r="29" spans="1:2" ht="32.1" customHeight="1">
      <c r="A29" s="5" t="s">
        <v>25</v>
      </c>
      <c r="B29" s="5" t="s">
        <v>26</v>
      </c>
    </row>
    <row r="30" spans="1:2" ht="32.1" customHeight="1">
      <c r="A30" s="1"/>
      <c r="B30" s="1"/>
    </row>
  </sheetData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20" customWidth="1"/>
    <col min="2" max="2" width="26" customWidth="1"/>
    <col min="3" max="5" width="32" customWidth="1"/>
    <col min="6" max="6" width="17" customWidth="1"/>
    <col min="7" max="7" width="28" customWidth="1"/>
  </cols>
  <sheetData>
    <row r="1" spans="1:7" ht="32.1" customHeight="1">
      <c r="A1" s="2" t="s">
        <v>27</v>
      </c>
      <c r="B1" s="1"/>
      <c r="C1" s="1"/>
      <c r="D1" s="1"/>
      <c r="E1" s="1"/>
      <c r="F1" s="1"/>
      <c r="G1" s="1"/>
    </row>
    <row r="2" spans="1:7" ht="12" customHeight="1">
      <c r="A2" s="1"/>
      <c r="B2" s="1"/>
      <c r="C2" s="1"/>
      <c r="D2" s="1"/>
      <c r="E2" s="1"/>
      <c r="F2" s="1"/>
      <c r="G2" s="1"/>
    </row>
    <row r="3" spans="1:7" ht="57.95" customHeight="1">
      <c r="A3" s="10" t="s">
        <v>35</v>
      </c>
      <c r="B3" s="10"/>
      <c r="C3" s="10"/>
      <c r="D3" s="10"/>
      <c r="E3" s="10"/>
      <c r="F3" s="10"/>
      <c r="G3" s="10"/>
    </row>
    <row r="4" spans="1:7" ht="38.1" customHeight="1">
      <c r="A4" s="8" t="s">
        <v>28</v>
      </c>
      <c r="B4" s="8" t="s">
        <v>29</v>
      </c>
      <c r="C4" s="8" t="s">
        <v>30</v>
      </c>
      <c r="D4" s="8" t="s">
        <v>31</v>
      </c>
      <c r="E4" s="8" t="s">
        <v>32</v>
      </c>
      <c r="F4" s="8" t="s">
        <v>26</v>
      </c>
      <c r="G4" s="8" t="s">
        <v>33</v>
      </c>
    </row>
    <row r="5" spans="1:7" ht="63.95" customHeight="1">
      <c r="A5" s="1"/>
      <c r="B5" s="1"/>
      <c r="C5" s="1"/>
      <c r="D5" s="1"/>
      <c r="E5" s="4"/>
      <c r="F5" s="4"/>
      <c r="G5" s="4"/>
    </row>
  </sheetData>
  <mergeCells count="1">
    <mergeCell ref="A3:G3"/>
  </mergeCells>
  <dataValidations count="1">
    <dataValidation type="list" sqref="F5" xr:uid="{00000000-0002-0000-0100-000000000000}">
      <formula1>"合格,不合格,実行不可,実行省略,未実行"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概要</vt:lpstr>
      <vt:lpstr>テスト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2026-10-04T12:11:39Z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Family">
    <vt:lpwstr>test-report</vt:lpwstr>
  </property>
  <property fmtid="{D5CDD505-2E9C-101B-9397-08002B2CF9AE}" pid="3" name="TemplateVersion">
    <vt:lpwstr>1.0.1</vt:lpwstr>
  </property>
  <property fmtid="{D5CDD505-2E9C-101B-9397-08002B2CF9AE}" pid="4" name="Language">
    <vt:lpwstr>ja</vt:lpwstr>
  </property>
</Properties>
</file>