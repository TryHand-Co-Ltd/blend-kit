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" sheetId="1" state="visible" r:id="rId1"/>
    <sheet xmlns:r="http://schemas.openxmlformats.org/officeDocument/2006/relationships" name="Cases" sheetId="2" state="visible" r:id="rId2"/>
    <sheet xmlns:r="http://schemas.openxmlformats.org/officeDocument/2006/relationships" name="Data" sheetId="3" state="visible" r:id="rId3"/>
  </sheets>
  <definedNames>
    <definedName name="_xlnm._FilterDatabase" localSheetId="0" hidden="1">'Run'!$A$24:$S$33</definedName>
    <definedName name="_xlnm.Print_Titles" localSheetId="0">'Run'!$24:$24</definedName>
    <definedName name="_xlnm._FilterDatabase" localSheetId="1" hidden="1">'Cases'!$A$7:$U$13</definedName>
    <definedName name="_xlnm.Print_Titles" localSheetId="1">'Cases'!$7:$7</definedName>
    <definedName name="_xlnm._FilterDatabase" localSheetId="2" hidden="1">'Data'!$A$7:$I$54</definedName>
    <definedName name="_xlnm.Print_Titles" localSheetId="2">'Data'!$7:$7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 hh:mm:ss"/>
  </numFmts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34155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165" fontId="3" fillId="3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un'!A1" TargetMode="External" Id="rId1"/><Relationship Type="http://schemas.openxmlformats.org/officeDocument/2006/relationships/hyperlink" Target="#'Cases'!A1" TargetMode="External" Id="rId2"/><Relationship Type="http://schemas.openxmlformats.org/officeDocument/2006/relationships/hyperlink" Target="#'Data'!A1" TargetMode="External" Id="rId3"/><Relationship Type="http://schemas.openxmlformats.org/officeDocument/2006/relationships/hyperlink" Target="#'Cases'!A8" TargetMode="External" Id="rId4"/><Relationship Type="http://schemas.openxmlformats.org/officeDocument/2006/relationships/hyperlink" Target="#'Cases'!A8" TargetMode="External" Id="rId5"/><Relationship Type="http://schemas.openxmlformats.org/officeDocument/2006/relationships/hyperlink" Target="#'Cases'!A8" TargetMode="External" Id="rId6"/><Relationship Type="http://schemas.openxmlformats.org/officeDocument/2006/relationships/hyperlink" Target="#'Cases'!A9" TargetMode="External" Id="rId7"/><Relationship Type="http://schemas.openxmlformats.org/officeDocument/2006/relationships/hyperlink" Target="#'Cases'!A10" TargetMode="External" Id="rId8"/><Relationship Type="http://schemas.openxmlformats.org/officeDocument/2006/relationships/hyperlink" Target="#'Cases'!A10" TargetMode="External" Id="rId9"/><Relationship Type="http://schemas.openxmlformats.org/officeDocument/2006/relationships/hyperlink" Target="#'Cases'!A11" TargetMode="External" Id="rId10"/><Relationship Type="http://schemas.openxmlformats.org/officeDocument/2006/relationships/hyperlink" Target="#'Cases'!A12" TargetMode="External" Id="rId11"/><Relationship Type="http://schemas.openxmlformats.org/officeDocument/2006/relationships/hyperlink" Target="#'Cases'!A13" TargetMode="External" Id="rId12"/></Relationships>
</file>

<file path=xl/worksheets/_rels/sheet2.xml.rels><Relationships xmlns="http://schemas.openxmlformats.org/package/2006/relationships"><Relationship Type="http://schemas.openxmlformats.org/officeDocument/2006/relationships/hyperlink" Target="#'Run'!A1" TargetMode="External" Id="rId1"/><Relationship Type="http://schemas.openxmlformats.org/officeDocument/2006/relationships/hyperlink" Target="#'Cases'!A1" TargetMode="External" Id="rId2"/><Relationship Type="http://schemas.openxmlformats.org/officeDocument/2006/relationships/hyperlink" Target="#'Data'!A1" TargetMode="External" Id="rId3"/><Relationship Type="http://schemas.openxmlformats.org/officeDocument/2006/relationships/hyperlink" Target="#'Run'!B25" TargetMode="External" Id="rId4"/><Relationship Type="http://schemas.openxmlformats.org/officeDocument/2006/relationships/hyperlink" Target="#'Run'!B28" TargetMode="External" Id="rId5"/><Relationship Type="http://schemas.openxmlformats.org/officeDocument/2006/relationships/hyperlink" Target="#'Run'!B29" TargetMode="External" Id="rId6"/><Relationship Type="http://schemas.openxmlformats.org/officeDocument/2006/relationships/hyperlink" Target="#'Run'!B31" TargetMode="External" Id="rId7"/><Relationship Type="http://schemas.openxmlformats.org/officeDocument/2006/relationships/hyperlink" Target="#'Run'!B32" TargetMode="External" Id="rId8"/><Relationship Type="http://schemas.openxmlformats.org/officeDocument/2006/relationships/hyperlink" Target="#'Run'!B33" TargetMode="External" Id="rId9"/></Relationships>
</file>

<file path=xl/worksheets/_rels/sheet3.xml.rels><Relationships xmlns="http://schemas.openxmlformats.org/package/2006/relationships"><Relationship Type="http://schemas.openxmlformats.org/officeDocument/2006/relationships/hyperlink" Target="#'Run'!A1" TargetMode="External" Id="rId1"/><Relationship Type="http://schemas.openxmlformats.org/officeDocument/2006/relationships/hyperlink" Target="#'Cases'!A1" TargetMode="External" Id="rId2"/><Relationship Type="http://schemas.openxmlformats.org/officeDocument/2006/relationships/hyperlink" Target="#'Data'!A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33"/>
  <sheetViews>
    <sheetView showGridLines="0" workbookViewId="0">
      <pane xSplit="3" ySplit="24" topLeftCell="D2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44" customWidth="1" min="2" max="2"/>
    <col width="18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</cols>
  <sheetData>
    <row r="1">
      <c r="A1" s="1" t="inlineStr">
        <is>
          <t>Run</t>
        </is>
      </c>
      <c r="B1" s="1" t="inlineStr">
        <is>
          <t>Cases</t>
        </is>
      </c>
      <c r="C1" s="1" t="inlineStr">
        <is>
          <t>Data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2" t="inlineStr">
        <is>
          <t>Kết quả kiểm thử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</row>
    <row r="3">
      <c r="A3" s="1" t="inlineStr">
        <is>
          <t>Revision</t>
        </is>
      </c>
      <c r="B3" s="1" t="inlineStr">
        <is>
          <t>design-v2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</row>
    <row r="4">
      <c r="A4" s="1" t="inlineStr">
        <is>
          <t>Nguồn</t>
        </is>
      </c>
      <c r="B4" s="1" t="inlineStr">
        <is>
          <t>FX-REVIEW SPEC.md revision 2; confirmation.md Q1-Q4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</row>
    <row r="5">
      <c r="A5" s="1" t="inlineStr">
        <is>
          <t>Run ID</t>
        </is>
      </c>
      <c r="B5" s="4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</row>
    <row r="6">
      <c r="A6" s="1" t="inlineStr">
        <is>
          <t>Build</t>
        </is>
      </c>
      <c r="B6" s="4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</row>
    <row r="7">
      <c r="A7" s="1" t="inlineStr">
        <is>
          <t>Môi trường / trường / năm</t>
        </is>
      </c>
      <c r="B7" s="4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</row>
    <row r="8">
      <c r="A8" s="1" t="inlineStr">
        <is>
          <t>Người chạy</t>
        </is>
      </c>
      <c r="B8" s="4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</row>
    <row r="9">
      <c r="A9" s="1" t="inlineStr">
        <is>
          <t>Thời gian / múi giờ</t>
        </is>
      </c>
      <c r="B9" s="4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</row>
    <row r="10" ht="115" customHeight="1">
      <c r="A10" s="1" t="inlineStr">
        <is>
          <t>Quy tắc</t>
        </is>
      </c>
      <c r="B10" s="1" t="inlineStr">
        <is>
          <t>Vàng: nhập kết quả. Một file cho một run/revision. Chọn scope không phải thực thi; SKIPPED cần lý do, BLOCKED cần blocker. PASS/FAIL cần actual/evidence/tester/time/timezone; proposal chỉ là observation. Case PASS yêu cầu mọi variant bắt buộc Confirmed và PASS. Không ghi đè lịch sử.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</row>
    <row r="11" ht="220" customHeight="1">
      <c r="A11" s="1" t="inlineStr">
        <is>
          <t>Source fingerprints</t>
        </is>
      </c>
      <c r="B11" s="1" t="inlineStr">
        <is>
          <t>scope-and-approach.vi.md: sha256:ec95513ecc0b28d21a530b7ad4ffb044411e87a666c56145f63c71ebed8900d3
test-cases.vi.md: sha256:33e35df8824d393d8826adce5177a2bae20721abdb645cd7b90895af73dc29f1
test-data.vi.md: sha256:2d80d51728c88b61d9aacefa59d8bdf5d4f25e156b1d59689c2d95ae7008b314
scope-and-approach.ja.md: sha256:44c952e8968d27ae3927c1074e4ef61dd5929b9eb5b12ef3ff3d837986622266
test-cases.ja.md: sha256:b93b34f364ea5aa7253055947b43f93f5f2f45b3147d83bc07724d267dc92aae
test-data.ja.md: sha256:23dde99f6d93954fadd08509a81c252585eafc4a3756c1b514deaa543199f5c2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</row>
    <row r="12">
      <c r="A12" s="1" t="inlineStr">
        <is>
          <t>Template fingerprint</t>
        </is>
      </c>
      <c r="B12" s="1" t="inlineStr">
        <is>
          <t>sha256:3611fe7754c033a35d860cf53c8ad23a1e2e3bcb1cae6fab560f7b0291de0fec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</row>
    <row r="14">
      <c r="A14" s="1" t="inlineStr">
        <is>
          <t>Biến thể trong scope</t>
        </is>
      </c>
      <c r="B14" s="1">
        <f>COUNTIF($H$25:$H$33,"Yes")</f>
        <v/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</row>
    <row r="15">
      <c r="A15" s="1" t="inlineStr">
        <is>
          <t>Số case thiết kế</t>
        </is>
      </c>
      <c r="B15" s="1" t="n">
        <v>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>
      <c r="A16" s="1" t="inlineStr">
        <is>
          <t>Confirmed PASS</t>
        </is>
      </c>
      <c r="B16" s="1">
        <f>COUNTIFS($H$25:$H$33,"Yes",$F$25:$F$33,"Confirmed",$Q$25:$Q$33,"OK",$I$25:$I$33,"PASS")</f>
        <v/>
      </c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</row>
    <row r="17">
      <c r="A17" s="1" t="inlineStr">
        <is>
          <t>Confirmed FAIL</t>
        </is>
      </c>
      <c r="B17" s="1">
        <f>COUNTIFS($H$25:$H$33,"Yes",$F$25:$F$33,"Confirmed",$Q$25:$Q$33,"OK",$I$25:$I$33,"FAIL")</f>
        <v/>
      </c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</row>
    <row r="18">
      <c r="A18" s="1" t="inlineStr">
        <is>
          <t>BLOCKED</t>
        </is>
      </c>
      <c r="B18" s="1">
        <f>COUNTIFS($H$25:$H$33,"Yes",$I$25:$I$33,"BLOCKED")</f>
        <v/>
      </c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</row>
    <row r="19">
      <c r="A19" s="1" t="inlineStr">
        <is>
          <t>NOT RUN</t>
        </is>
      </c>
      <c r="B19" s="1">
        <f>COUNTIFS($H$25:$H$33,"Yes",$I$25:$I$33,"NOT RUN")</f>
        <v/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</row>
    <row r="20">
      <c r="A20" s="1" t="inlineStr">
        <is>
          <t>SKIPPED</t>
        </is>
      </c>
      <c r="B20" s="1">
        <f>COUNTIFS($H$25:$H$33,"Yes",$I$25:$I$33,"SKIPPED")</f>
        <v/>
      </c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</row>
    <row r="21">
      <c r="A21" s="1" t="inlineStr">
        <is>
          <t>Confirmed assessed rate</t>
        </is>
      </c>
      <c r="B21" s="6">
        <f>IF(COUNTIFS($H$25:$H$33,"Yes",$F$25:$F$33,"Confirmed")=0,"No data",(B16+B17)/COUNTIFS($H$25:$H$33,"Yes",$F$25:$F$33,"Confirmed"))</f>
        <v/>
      </c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>
      <c r="A22" s="1" t="inlineStr">
        <is>
          <t>Confirmed pass rate</t>
        </is>
      </c>
      <c r="B22" s="6">
        <f>IF(B16+B17=0,"No data",B16/(B16+B17))</f>
        <v/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</row>
    <row r="24" ht="32" customHeight="1">
      <c r="A24" s="5" t="inlineStr">
        <is>
          <t>Run ID</t>
        </is>
      </c>
      <c r="B24" s="5" t="inlineStr">
        <is>
          <t>Case ID</t>
        </is>
      </c>
      <c r="C24" s="5" t="inlineStr">
        <is>
          <t>Variant</t>
        </is>
      </c>
      <c r="D24" s="5" t="inlineStr">
        <is>
          <t>Nhóm nghiệp vụ</t>
        </is>
      </c>
      <c r="E24" s="5" t="inlineStr">
        <is>
          <t>Priority</t>
        </is>
      </c>
      <c r="F24" s="5" t="inlineStr">
        <is>
          <t>Căn cứ kỳ vọng</t>
        </is>
      </c>
      <c r="G24" s="5" t="inlineStr">
        <is>
          <t>Readiness</t>
        </is>
      </c>
      <c r="H24" s="5" t="inlineStr">
        <is>
          <t>Trong scope</t>
        </is>
      </c>
      <c r="I24" s="5" t="inlineStr">
        <is>
          <t>Status</t>
        </is>
      </c>
      <c r="J24" s="5" t="inlineStr">
        <is>
          <t>Actual</t>
        </is>
      </c>
      <c r="K24" s="5" t="inlineStr">
        <is>
          <t>Evidence</t>
        </is>
      </c>
      <c r="L24" s="5" t="inlineStr">
        <is>
          <t>Bug</t>
        </is>
      </c>
      <c r="M24" s="5" t="inlineStr">
        <is>
          <t>Tester</t>
        </is>
      </c>
      <c r="N24" s="5" t="inlineStr">
        <is>
          <t>Executed at</t>
        </is>
      </c>
      <c r="O24" s="5" t="inlineStr">
        <is>
          <t>Timezone</t>
        </is>
      </c>
      <c r="P24" s="5" t="inlineStr">
        <is>
          <t>Lý do / blocker</t>
        </is>
      </c>
      <c r="Q24" s="5" t="inlineStr">
        <is>
          <t>Kiểm tra kết quả</t>
        </is>
      </c>
      <c r="R24" s="5" t="inlineStr">
        <is>
          <t>Case status</t>
        </is>
      </c>
      <c r="S24" s="5" t="inlineStr">
        <is>
          <t>Thiết kế</t>
        </is>
      </c>
    </row>
    <row r="25" ht="143" customHeight="1">
      <c r="A25" s="1">
        <f>$B$5</f>
        <v/>
      </c>
      <c r="B25" s="1" t="inlineStr">
        <is>
          <t>TC-01</t>
        </is>
      </c>
      <c r="C25" s="1" t="inlineStr">
        <is>
          <t>below</t>
        </is>
      </c>
      <c r="D25" s="1" t="inlineStr">
        <is>
          <t>Configure and recalculate</t>
        </is>
      </c>
      <c r="E25" s="1" t="inlineStr">
        <is>
          <t>High</t>
        </is>
      </c>
      <c r="F25" s="1" t="inlineStr">
        <is>
          <t>Confirmed</t>
        </is>
      </c>
      <c r="G25" s="1" t="inlineStr">
        <is>
          <t>Ready</t>
        </is>
      </c>
      <c r="H25" s="4" t="inlineStr">
        <is>
          <t>Yes</t>
        </is>
      </c>
      <c r="I25" s="4" t="inlineStr">
        <is>
          <t>NOT RUN</t>
        </is>
      </c>
      <c r="J25" s="4" t="n"/>
      <c r="K25" s="4" t="n"/>
      <c r="L25" s="4" t="n"/>
      <c r="M25" s="4" t="n"/>
      <c r="N25" s="7" t="n"/>
      <c r="O25" s="4" t="n"/>
      <c r="P25" s="4" t="n"/>
      <c r="Q25" s="1">
        <f>IF(OR(AND(H25&lt;&gt;"Yes",H25&lt;&gt;"No"),AND(I25&lt;&gt;"NOT RUN",I25&lt;&gt;"PASS",I25&lt;&gt;"FAIL",I25&lt;&gt;"BLOCKED",I25&lt;&gt;"SKIPPED")),"Invalid scope/status",IF(AND(I25="SKIPPED",P25=""),"Missing reason",IF(AND(I25="BLOCKED",P25=""),"Missing blocker",IF(OR(I25="PASS",I25="FAIL"),IF(OR(A25="",J25="",K25="",M25="",N25="",O25=""),"Missing execution evidence",IF(OR(F25&lt;&gt;"Confirmed",G25&lt;&gt;"Ready"),"Observation only","OK")),"OK"))))</f>
        <v/>
      </c>
      <c r="R25" s="1">
        <f>IF(COUNTIFS($A$25:$A$33,A25,$B$25:$B$33,B25,$H$25:$H$33,"Yes",$F$25:$F$33,"Confirmed",$I$25:$I$33,"FAIL",$Q$25:$Q$33,"OK")&gt;0,"FAIL",IF(COUNTIFS($A$25:$A$33,A25,$B$25:$B$33,B25,$H$25:$H$33,"Yes",$F$25:$F$33,"Confirmed",$G$25:$G$33,"Ready",$I$25:$I$33,"PASS",$Q$25:$Q$33,"OK")=COUNTIFS($A$25:$A$33,A25,$B$25:$B$33,B25),"PASS",IF(COUNTIFS($A$25:$A$33,A25,$B$25:$B$33,B25,$I$25:$I$33,"BLOCKED")&gt;0,"BLOCKED","NOT RUN")))</f>
        <v/>
      </c>
      <c r="S25" s="1" t="inlineStr">
        <is>
          <t>Cases!A8</t>
        </is>
      </c>
    </row>
    <row r="26" ht="143" customHeight="1">
      <c r="A26" s="1">
        <f>$B$5</f>
        <v/>
      </c>
      <c r="B26" s="1" t="inlineStr">
        <is>
          <t>TC-01</t>
        </is>
      </c>
      <c r="C26" s="1" t="inlineStr">
        <is>
          <t>equal</t>
        </is>
      </c>
      <c r="D26" s="1" t="inlineStr">
        <is>
          <t>Configure and recalculate</t>
        </is>
      </c>
      <c r="E26" s="1" t="inlineStr">
        <is>
          <t>High</t>
        </is>
      </c>
      <c r="F26" s="1" t="inlineStr">
        <is>
          <t>Confirmed</t>
        </is>
      </c>
      <c r="G26" s="1" t="inlineStr">
        <is>
          <t>Ready</t>
        </is>
      </c>
      <c r="H26" s="4" t="inlineStr">
        <is>
          <t>Yes</t>
        </is>
      </c>
      <c r="I26" s="4" t="inlineStr">
        <is>
          <t>NOT RUN</t>
        </is>
      </c>
      <c r="J26" s="4" t="n"/>
      <c r="K26" s="4" t="n"/>
      <c r="L26" s="4" t="n"/>
      <c r="M26" s="4" t="n"/>
      <c r="N26" s="7" t="n"/>
      <c r="O26" s="4" t="n"/>
      <c r="P26" s="4" t="n"/>
      <c r="Q26" s="1">
        <f>IF(OR(AND(H26&lt;&gt;"Yes",H26&lt;&gt;"No"),AND(I26&lt;&gt;"NOT RUN",I26&lt;&gt;"PASS",I26&lt;&gt;"FAIL",I26&lt;&gt;"BLOCKED",I26&lt;&gt;"SKIPPED")),"Invalid scope/status",IF(AND(I26="SKIPPED",P26=""),"Missing reason",IF(AND(I26="BLOCKED",P26=""),"Missing blocker",IF(OR(I26="PASS",I26="FAIL"),IF(OR(A26="",J26="",K26="",M26="",N26="",O26=""),"Missing execution evidence",IF(OR(F26&lt;&gt;"Confirmed",G26&lt;&gt;"Ready"),"Observation only","OK")),"OK"))))</f>
        <v/>
      </c>
      <c r="R26" s="1">
        <f>IF(COUNTIFS($A$25:$A$33,A26,$B$25:$B$33,B26,$H$25:$H$33,"Yes",$F$25:$F$33,"Confirmed",$I$25:$I$33,"FAIL",$Q$25:$Q$33,"OK")&gt;0,"FAIL",IF(COUNTIFS($A$25:$A$33,A26,$B$25:$B$33,B26,$H$25:$H$33,"Yes",$F$25:$F$33,"Confirmed",$G$25:$G$33,"Ready",$I$25:$I$33,"PASS",$Q$25:$Q$33,"OK")=COUNTIFS($A$25:$A$33,A26,$B$25:$B$33,B26),"PASS",IF(COUNTIFS($A$25:$A$33,A26,$B$25:$B$33,B26,$I$25:$I$33,"BLOCKED")&gt;0,"BLOCKED","NOT RUN")))</f>
        <v/>
      </c>
      <c r="S26" s="1" t="inlineStr">
        <is>
          <t>Cases!A8</t>
        </is>
      </c>
    </row>
    <row r="27" ht="143" customHeight="1">
      <c r="A27" s="1">
        <f>$B$5</f>
        <v/>
      </c>
      <c r="B27" s="1" t="inlineStr">
        <is>
          <t>TC-01</t>
        </is>
      </c>
      <c r="C27" s="1" t="inlineStr">
        <is>
          <t>above</t>
        </is>
      </c>
      <c r="D27" s="1" t="inlineStr">
        <is>
          <t>Configure and recalculate</t>
        </is>
      </c>
      <c r="E27" s="1" t="inlineStr">
        <is>
          <t>High</t>
        </is>
      </c>
      <c r="F27" s="1" t="inlineStr">
        <is>
          <t>Confirmed</t>
        </is>
      </c>
      <c r="G27" s="1" t="inlineStr">
        <is>
          <t>Ready</t>
        </is>
      </c>
      <c r="H27" s="4" t="inlineStr">
        <is>
          <t>Yes</t>
        </is>
      </c>
      <c r="I27" s="4" t="inlineStr">
        <is>
          <t>NOT RUN</t>
        </is>
      </c>
      <c r="J27" s="4" t="n"/>
      <c r="K27" s="4" t="n"/>
      <c r="L27" s="4" t="n"/>
      <c r="M27" s="4" t="n"/>
      <c r="N27" s="7" t="n"/>
      <c r="O27" s="4" t="n"/>
      <c r="P27" s="4" t="n"/>
      <c r="Q27" s="1">
        <f>IF(OR(AND(H27&lt;&gt;"Yes",H27&lt;&gt;"No"),AND(I27&lt;&gt;"NOT RUN",I27&lt;&gt;"PASS",I27&lt;&gt;"FAIL",I27&lt;&gt;"BLOCKED",I27&lt;&gt;"SKIPPED")),"Invalid scope/status",IF(AND(I27="SKIPPED",P27=""),"Missing reason",IF(AND(I27="BLOCKED",P27=""),"Missing blocker",IF(OR(I27="PASS",I27="FAIL"),IF(OR(A27="",J27="",K27="",M27="",N27="",O27=""),"Missing execution evidence",IF(OR(F27&lt;&gt;"Confirmed",G27&lt;&gt;"Ready"),"Observation only","OK")),"OK"))))</f>
        <v/>
      </c>
      <c r="R27" s="1">
        <f>IF(COUNTIFS($A$25:$A$33,A27,$B$25:$B$33,B27,$H$25:$H$33,"Yes",$F$25:$F$33,"Confirmed",$I$25:$I$33,"FAIL",$Q$25:$Q$33,"OK")&gt;0,"FAIL",IF(COUNTIFS($A$25:$A$33,A27,$B$25:$B$33,B27,$H$25:$H$33,"Yes",$F$25:$F$33,"Confirmed",$G$25:$G$33,"Ready",$I$25:$I$33,"PASS",$Q$25:$Q$33,"OK")=COUNTIFS($A$25:$A$33,A27,$B$25:$B$33,B27),"PASS",IF(COUNTIFS($A$25:$A$33,A27,$B$25:$B$33,B27,$I$25:$I$33,"BLOCKED")&gt;0,"BLOCKED","NOT RUN")))</f>
        <v/>
      </c>
      <c r="S27" s="1" t="inlineStr">
        <is>
          <t>Cases!A8</t>
        </is>
      </c>
    </row>
    <row r="28" ht="143" customHeight="1">
      <c r="A28" s="1">
        <f>$B$5</f>
        <v/>
      </c>
      <c r="B28" s="1" t="inlineStr">
        <is>
          <t>TC-02</t>
        </is>
      </c>
      <c r="C28" s="1" t="inlineStr">
        <is>
          <t>fraction</t>
        </is>
      </c>
      <c r="D28" s="1" t="inlineStr">
        <is>
          <t>Configure and recalculate</t>
        </is>
      </c>
      <c r="E28" s="1" t="inlineStr">
        <is>
          <t>High</t>
        </is>
      </c>
      <c r="F28" s="1" t="inlineStr">
        <is>
          <t>Confirmed</t>
        </is>
      </c>
      <c r="G28" s="1" t="inlineStr">
        <is>
          <t>Ready</t>
        </is>
      </c>
      <c r="H28" s="4" t="inlineStr">
        <is>
          <t>Yes</t>
        </is>
      </c>
      <c r="I28" s="4" t="inlineStr">
        <is>
          <t>NOT RUN</t>
        </is>
      </c>
      <c r="J28" s="4" t="n"/>
      <c r="K28" s="4" t="n"/>
      <c r="L28" s="4" t="n"/>
      <c r="M28" s="4" t="n"/>
      <c r="N28" s="7" t="n"/>
      <c r="O28" s="4" t="n"/>
      <c r="P28" s="4" t="n"/>
      <c r="Q28" s="1">
        <f>IF(OR(AND(H28&lt;&gt;"Yes",H28&lt;&gt;"No"),AND(I28&lt;&gt;"NOT RUN",I28&lt;&gt;"PASS",I28&lt;&gt;"FAIL",I28&lt;&gt;"BLOCKED",I28&lt;&gt;"SKIPPED")),"Invalid scope/status",IF(AND(I28="SKIPPED",P28=""),"Missing reason",IF(AND(I28="BLOCKED",P28=""),"Missing blocker",IF(OR(I28="PASS",I28="FAIL"),IF(OR(A28="",J28="",K28="",M28="",N28="",O28=""),"Missing execution evidence",IF(OR(F28&lt;&gt;"Confirmed",G28&lt;&gt;"Ready"),"Observation only","OK")),"OK"))))</f>
        <v/>
      </c>
      <c r="R28" s="1">
        <f>IF(COUNTIFS($A$25:$A$33,A28,$B$25:$B$33,B28,$H$25:$H$33,"Yes",$F$25:$F$33,"Confirmed",$I$25:$I$33,"FAIL",$Q$25:$Q$33,"OK")&gt;0,"FAIL",IF(COUNTIFS($A$25:$A$33,A28,$B$25:$B$33,B28,$H$25:$H$33,"Yes",$F$25:$F$33,"Confirmed",$G$25:$G$33,"Ready",$I$25:$I$33,"PASS",$Q$25:$Q$33,"OK")=COUNTIFS($A$25:$A$33,A28,$B$25:$B$33,B28),"PASS",IF(COUNTIFS($A$25:$A$33,A28,$B$25:$B$33,B28,$I$25:$I$33,"BLOCKED")&gt;0,"BLOCKED","NOT RUN")))</f>
        <v/>
      </c>
      <c r="S28" s="1" t="inlineStr">
        <is>
          <t>Cases!A9</t>
        </is>
      </c>
    </row>
    <row r="29" ht="143" customHeight="1">
      <c r="A29" s="1">
        <f>$B$5</f>
        <v/>
      </c>
      <c r="B29" s="1" t="inlineStr">
        <is>
          <t>TC-03</t>
        </is>
      </c>
      <c r="C29" s="1" t="inlineStr">
        <is>
          <t>admin</t>
        </is>
      </c>
      <c r="D29" s="1" t="inlineStr">
        <is>
          <t>Configure and recalculate</t>
        </is>
      </c>
      <c r="E29" s="1" t="inlineStr">
        <is>
          <t>High</t>
        </is>
      </c>
      <c r="F29" s="1" t="inlineStr">
        <is>
          <t>Confirmed</t>
        </is>
      </c>
      <c r="G29" s="1" t="inlineStr">
        <is>
          <t>Ready</t>
        </is>
      </c>
      <c r="H29" s="4" t="inlineStr">
        <is>
          <t>Yes</t>
        </is>
      </c>
      <c r="I29" s="4" t="inlineStr">
        <is>
          <t>NOT RUN</t>
        </is>
      </c>
      <c r="J29" s="4" t="n"/>
      <c r="K29" s="4" t="n"/>
      <c r="L29" s="4" t="n"/>
      <c r="M29" s="4" t="n"/>
      <c r="N29" s="7" t="n"/>
      <c r="O29" s="4" t="n"/>
      <c r="P29" s="4" t="n"/>
      <c r="Q29" s="1">
        <f>IF(OR(AND(H29&lt;&gt;"Yes",H29&lt;&gt;"No"),AND(I29&lt;&gt;"NOT RUN",I29&lt;&gt;"PASS",I29&lt;&gt;"FAIL",I29&lt;&gt;"BLOCKED",I29&lt;&gt;"SKIPPED")),"Invalid scope/status",IF(AND(I29="SKIPPED",P29=""),"Missing reason",IF(AND(I29="BLOCKED",P29=""),"Missing blocker",IF(OR(I29="PASS",I29="FAIL"),IF(OR(A29="",J29="",K29="",M29="",N29="",O29=""),"Missing execution evidence",IF(OR(F29&lt;&gt;"Confirmed",G29&lt;&gt;"Ready"),"Observation only","OK")),"OK"))))</f>
        <v/>
      </c>
      <c r="R29" s="1">
        <f>IF(COUNTIFS($A$25:$A$33,A29,$B$25:$B$33,B29,$H$25:$H$33,"Yes",$F$25:$F$33,"Confirmed",$I$25:$I$33,"FAIL",$Q$25:$Q$33,"OK")&gt;0,"FAIL",IF(COUNTIFS($A$25:$A$33,A29,$B$25:$B$33,B29,$H$25:$H$33,"Yes",$F$25:$F$33,"Confirmed",$G$25:$G$33,"Ready",$I$25:$I$33,"PASS",$Q$25:$Q$33,"OK")=COUNTIFS($A$25:$A$33,A29,$B$25:$B$33,B29),"PASS",IF(COUNTIFS($A$25:$A$33,A29,$B$25:$B$33,B29,$I$25:$I$33,"BLOCKED")&gt;0,"BLOCKED","NOT RUN")))</f>
        <v/>
      </c>
      <c r="S29" s="1" t="inlineStr">
        <is>
          <t>Cases!A10</t>
        </is>
      </c>
    </row>
    <row r="30" ht="143" customHeight="1">
      <c r="A30" s="1">
        <f>$B$5</f>
        <v/>
      </c>
      <c r="B30" s="1" t="inlineStr">
        <is>
          <t>TC-03</t>
        </is>
      </c>
      <c r="C30" s="1" t="inlineStr">
        <is>
          <t>teacher</t>
        </is>
      </c>
      <c r="D30" s="1" t="inlineStr">
        <is>
          <t>Configure and recalculate</t>
        </is>
      </c>
      <c r="E30" s="1" t="inlineStr">
        <is>
          <t>High</t>
        </is>
      </c>
      <c r="F30" s="1" t="inlineStr">
        <is>
          <t>Confirmed</t>
        </is>
      </c>
      <c r="G30" s="1" t="inlineStr">
        <is>
          <t>Ready</t>
        </is>
      </c>
      <c r="H30" s="4" t="inlineStr">
        <is>
          <t>Yes</t>
        </is>
      </c>
      <c r="I30" s="4" t="inlineStr">
        <is>
          <t>NOT RUN</t>
        </is>
      </c>
      <c r="J30" s="4" t="n"/>
      <c r="K30" s="4" t="n"/>
      <c r="L30" s="4" t="n"/>
      <c r="M30" s="4" t="n"/>
      <c r="N30" s="7" t="n"/>
      <c r="O30" s="4" t="n"/>
      <c r="P30" s="4" t="n"/>
      <c r="Q30" s="1">
        <f>IF(OR(AND(H30&lt;&gt;"Yes",H30&lt;&gt;"No"),AND(I30&lt;&gt;"NOT RUN",I30&lt;&gt;"PASS",I30&lt;&gt;"FAIL",I30&lt;&gt;"BLOCKED",I30&lt;&gt;"SKIPPED")),"Invalid scope/status",IF(AND(I30="SKIPPED",P30=""),"Missing reason",IF(AND(I30="BLOCKED",P30=""),"Missing blocker",IF(OR(I30="PASS",I30="FAIL"),IF(OR(A30="",J30="",K30="",M30="",N30="",O30=""),"Missing execution evidence",IF(OR(F30&lt;&gt;"Confirmed",G30&lt;&gt;"Ready"),"Observation only","OK")),"OK"))))</f>
        <v/>
      </c>
      <c r="R30" s="1">
        <f>IF(COUNTIFS($A$25:$A$33,A30,$B$25:$B$33,B30,$H$25:$H$33,"Yes",$F$25:$F$33,"Confirmed",$I$25:$I$33,"FAIL",$Q$25:$Q$33,"OK")&gt;0,"FAIL",IF(COUNTIFS($A$25:$A$33,A30,$B$25:$B$33,B30,$H$25:$H$33,"Yes",$F$25:$F$33,"Confirmed",$G$25:$G$33,"Ready",$I$25:$I$33,"PASS",$Q$25:$Q$33,"OK")=COUNTIFS($A$25:$A$33,A30,$B$25:$B$33,B30),"PASS",IF(COUNTIFS($A$25:$A$33,A30,$B$25:$B$33,B30,$I$25:$I$33,"BLOCKED")&gt;0,"BLOCKED","NOT RUN")))</f>
        <v/>
      </c>
      <c r="S30" s="1" t="inlineStr">
        <is>
          <t>Cases!A10</t>
        </is>
      </c>
    </row>
    <row r="31" ht="143" customHeight="1">
      <c r="A31" s="1">
        <f>$B$5</f>
        <v/>
      </c>
      <c r="B31" s="1" t="inlineStr">
        <is>
          <t>TC-04</t>
        </is>
      </c>
      <c r="C31" s="1" t="inlineStr">
        <is>
          <t>base</t>
        </is>
      </c>
      <c r="D31" s="1" t="inlineStr">
        <is>
          <t>Configure and recalculate</t>
        </is>
      </c>
      <c r="E31" s="1" t="inlineStr">
        <is>
          <t>High</t>
        </is>
      </c>
      <c r="F31" s="1" t="inlineStr">
        <is>
          <t>Confirmed</t>
        </is>
      </c>
      <c r="G31" s="1" t="inlineStr">
        <is>
          <t>Ready</t>
        </is>
      </c>
      <c r="H31" s="4" t="inlineStr">
        <is>
          <t>Yes</t>
        </is>
      </c>
      <c r="I31" s="4" t="inlineStr">
        <is>
          <t>NOT RUN</t>
        </is>
      </c>
      <c r="J31" s="4" t="n"/>
      <c r="K31" s="4" t="n"/>
      <c r="L31" s="4" t="n"/>
      <c r="M31" s="4" t="n"/>
      <c r="N31" s="7" t="n"/>
      <c r="O31" s="4" t="n"/>
      <c r="P31" s="4" t="n"/>
      <c r="Q31" s="1">
        <f>IF(OR(AND(H31&lt;&gt;"Yes",H31&lt;&gt;"No"),AND(I31&lt;&gt;"NOT RUN",I31&lt;&gt;"PASS",I31&lt;&gt;"FAIL",I31&lt;&gt;"BLOCKED",I31&lt;&gt;"SKIPPED")),"Invalid scope/status",IF(AND(I31="SKIPPED",P31=""),"Missing reason",IF(AND(I31="BLOCKED",P31=""),"Missing blocker",IF(OR(I31="PASS",I31="FAIL"),IF(OR(A31="",J31="",K31="",M31="",N31="",O31=""),"Missing execution evidence",IF(OR(F31&lt;&gt;"Confirmed",G31&lt;&gt;"Ready"),"Observation only","OK")),"OK"))))</f>
        <v/>
      </c>
      <c r="R31" s="1">
        <f>IF(COUNTIFS($A$25:$A$33,A31,$B$25:$B$33,B31,$H$25:$H$33,"Yes",$F$25:$F$33,"Confirmed",$I$25:$I$33,"FAIL",$Q$25:$Q$33,"OK")&gt;0,"FAIL",IF(COUNTIFS($A$25:$A$33,A31,$B$25:$B$33,B31,$H$25:$H$33,"Yes",$F$25:$F$33,"Confirmed",$G$25:$G$33,"Ready",$I$25:$I$33,"PASS",$Q$25:$Q$33,"OK")=COUNTIFS($A$25:$A$33,A31,$B$25:$B$33,B31),"PASS",IF(COUNTIFS($A$25:$A$33,A31,$B$25:$B$33,B31,$I$25:$I$33,"BLOCKED")&gt;0,"BLOCKED","NOT RUN")))</f>
        <v/>
      </c>
      <c r="S31" s="1" t="inlineStr">
        <is>
          <t>Cases!A11</t>
        </is>
      </c>
    </row>
    <row r="32" ht="143" customHeight="1">
      <c r="A32" s="1">
        <f>$B$5</f>
        <v/>
      </c>
      <c r="B32" s="1" t="inlineStr">
        <is>
          <t>TC-05</t>
        </is>
      </c>
      <c r="C32" s="1" t="inlineStr">
        <is>
          <t>base</t>
        </is>
      </c>
      <c r="D32" s="1" t="inlineStr">
        <is>
          <t>Configure and recalculate</t>
        </is>
      </c>
      <c r="E32" s="1" t="inlineStr">
        <is>
          <t>Medium</t>
        </is>
      </c>
      <c r="F32" s="1" t="inlineStr">
        <is>
          <t>Confirmed</t>
        </is>
      </c>
      <c r="G32" s="1" t="inlineStr">
        <is>
          <t>Ready</t>
        </is>
      </c>
      <c r="H32" s="4" t="inlineStr">
        <is>
          <t>Yes</t>
        </is>
      </c>
      <c r="I32" s="4" t="inlineStr">
        <is>
          <t>NOT RUN</t>
        </is>
      </c>
      <c r="J32" s="4" t="n"/>
      <c r="K32" s="4" t="n"/>
      <c r="L32" s="4" t="n"/>
      <c r="M32" s="4" t="n"/>
      <c r="N32" s="7" t="n"/>
      <c r="O32" s="4" t="n"/>
      <c r="P32" s="4" t="n"/>
      <c r="Q32" s="1">
        <f>IF(OR(AND(H32&lt;&gt;"Yes",H32&lt;&gt;"No"),AND(I32&lt;&gt;"NOT RUN",I32&lt;&gt;"PASS",I32&lt;&gt;"FAIL",I32&lt;&gt;"BLOCKED",I32&lt;&gt;"SKIPPED")),"Invalid scope/status",IF(AND(I32="SKIPPED",P32=""),"Missing reason",IF(AND(I32="BLOCKED",P32=""),"Missing blocker",IF(OR(I32="PASS",I32="FAIL"),IF(OR(A32="",J32="",K32="",M32="",N32="",O32=""),"Missing execution evidence",IF(OR(F32&lt;&gt;"Confirmed",G32&lt;&gt;"Ready"),"Observation only","OK")),"OK"))))</f>
        <v/>
      </c>
      <c r="R32" s="1">
        <f>IF(COUNTIFS($A$25:$A$33,A32,$B$25:$B$33,B32,$H$25:$H$33,"Yes",$F$25:$F$33,"Confirmed",$I$25:$I$33,"FAIL",$Q$25:$Q$33,"OK")&gt;0,"FAIL",IF(COUNTIFS($A$25:$A$33,A32,$B$25:$B$33,B32,$H$25:$H$33,"Yes",$F$25:$F$33,"Confirmed",$G$25:$G$33,"Ready",$I$25:$I$33,"PASS",$Q$25:$Q$33,"OK")=COUNTIFS($A$25:$A$33,A32,$B$25:$B$33,B32),"PASS",IF(COUNTIFS($A$25:$A$33,A32,$B$25:$B$33,B32,$I$25:$I$33,"BLOCKED")&gt;0,"BLOCKED","NOT RUN")))</f>
        <v/>
      </c>
      <c r="S32" s="1" t="inlineStr">
        <is>
          <t>Cases!A12</t>
        </is>
      </c>
    </row>
    <row r="33" ht="143" customHeight="1">
      <c r="A33" s="1">
        <f>$B$5</f>
        <v/>
      </c>
      <c r="B33" s="1" t="inlineStr">
        <is>
          <t>TC-06</t>
        </is>
      </c>
      <c r="C33" s="1" t="inlineStr">
        <is>
          <t>base</t>
        </is>
      </c>
      <c r="D33" s="1" t="inlineStr">
        <is>
          <t>Configure and recalculate</t>
        </is>
      </c>
      <c r="E33" s="1" t="inlineStr">
        <is>
          <t>High</t>
        </is>
      </c>
      <c r="F33" s="1" t="inlineStr">
        <is>
          <t>Confirmed</t>
        </is>
      </c>
      <c r="G33" s="1" t="inlineStr">
        <is>
          <t>Blocked</t>
        </is>
      </c>
      <c r="H33" s="4" t="inlineStr">
        <is>
          <t>Yes</t>
        </is>
      </c>
      <c r="I33" s="4" t="inlineStr">
        <is>
          <t>NOT RUN</t>
        </is>
      </c>
      <c r="J33" s="4" t="n"/>
      <c r="K33" s="4" t="n"/>
      <c r="L33" s="4" t="n"/>
      <c r="M33" s="4" t="n"/>
      <c r="N33" s="7" t="n"/>
      <c r="O33" s="4" t="n"/>
      <c r="P33" s="4" t="n"/>
      <c r="Q33" s="1">
        <f>IF(OR(AND(H33&lt;&gt;"Yes",H33&lt;&gt;"No"),AND(I33&lt;&gt;"NOT RUN",I33&lt;&gt;"PASS",I33&lt;&gt;"FAIL",I33&lt;&gt;"BLOCKED",I33&lt;&gt;"SKIPPED")),"Invalid scope/status",IF(AND(I33="SKIPPED",P33=""),"Missing reason",IF(AND(I33="BLOCKED",P33=""),"Missing blocker",IF(OR(I33="PASS",I33="FAIL"),IF(OR(A33="",J33="",K33="",M33="",N33="",O33=""),"Missing execution evidence",IF(OR(F33&lt;&gt;"Confirmed",G33&lt;&gt;"Ready"),"Observation only","OK")),"OK"))))</f>
        <v/>
      </c>
      <c r="R33" s="1">
        <f>IF(COUNTIFS($A$25:$A$33,A33,$B$25:$B$33,B33,$H$25:$H$33,"Yes",$F$25:$F$33,"Confirmed",$I$25:$I$33,"FAIL",$Q$25:$Q$33,"OK")&gt;0,"FAIL",IF(COUNTIFS($A$25:$A$33,A33,$B$25:$B$33,B33,$H$25:$H$33,"Yes",$F$25:$F$33,"Confirmed",$G$25:$G$33,"Ready",$I$25:$I$33,"PASS",$Q$25:$Q$33,"OK")=COUNTIFS($A$25:$A$33,A33,$B$25:$B$33,B33),"PASS",IF(COUNTIFS($A$25:$A$33,A33,$B$25:$B$33,B33,$I$25:$I$33,"BLOCKED")&gt;0,"BLOCKED","NOT RUN")))</f>
        <v/>
      </c>
      <c r="S33" s="1" t="inlineStr">
        <is>
          <t>Cases!A13</t>
        </is>
      </c>
    </row>
  </sheetData>
  <autoFilter ref="A24:S33"/>
  <conditionalFormatting sqref="Q25:Q33">
    <cfRule type="expression" priority="1" dxfId="0">
      <formula>Q25&lt;&gt;"OK"</formula>
    </cfRule>
  </conditionalFormatting>
  <conditionalFormatting sqref="I25:I33">
    <cfRule type="expression" priority="2" dxfId="0">
      <formula>I25="FAIL"</formula>
    </cfRule>
  </conditionalFormatting>
  <dataValidations count="2">
    <dataValidation sqref="H25:H33" showDropDown="0" showInputMessage="0" showErrorMessage="1" allowBlank="0" errorTitle="Giá trị không hợp lệ" error="Chọn trạng thái trong danh sách." type="list" errorStyle="stop">
      <formula1>"Yes,No"</formula1>
    </dataValidation>
    <dataValidation sqref="I25:I33" showDropDown="0" showInputMessage="0" showErrorMessage="1" allowBlank="0" errorTitle="Giá trị không hợp lệ" error="Chọn trạng thái trong danh sách." type="list" errorStyle="stop">
      <formula1>"NOT RUN,PASS,FAIL,BLOCKED,SKIPPED"</formula1>
    </dataValidation>
  </dataValidations>
  <hyperlinks>
    <hyperlink xmlns:r="http://schemas.openxmlformats.org/officeDocument/2006/relationships" ref="A1" r:id="rId1"/>
    <hyperlink xmlns:r="http://schemas.openxmlformats.org/officeDocument/2006/relationships" ref="B1" r:id="rId2"/>
    <hyperlink xmlns:r="http://schemas.openxmlformats.org/officeDocument/2006/relationships" ref="C1" r:id="rId3"/>
    <hyperlink xmlns:r="http://schemas.openxmlformats.org/officeDocument/2006/relationships" ref="S25" r:id="rId4"/>
    <hyperlink xmlns:r="http://schemas.openxmlformats.org/officeDocument/2006/relationships" ref="S26" r:id="rId5"/>
    <hyperlink xmlns:r="http://schemas.openxmlformats.org/officeDocument/2006/relationships" ref="S27" r:id="rId6"/>
    <hyperlink xmlns:r="http://schemas.openxmlformats.org/officeDocument/2006/relationships" ref="S28" r:id="rId7"/>
    <hyperlink xmlns:r="http://schemas.openxmlformats.org/officeDocument/2006/relationships" ref="S29" r:id="rId8"/>
    <hyperlink xmlns:r="http://schemas.openxmlformats.org/officeDocument/2006/relationships" ref="S30" r:id="rId9"/>
    <hyperlink xmlns:r="http://schemas.openxmlformats.org/officeDocument/2006/relationships" ref="S31" r:id="rId10"/>
    <hyperlink xmlns:r="http://schemas.openxmlformats.org/officeDocument/2006/relationships" ref="S32" r:id="rId11"/>
    <hyperlink xmlns:r="http://schemas.openxmlformats.org/officeDocument/2006/relationships" ref="S33" r:id="rId12"/>
  </hyperlink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13"/>
  <sheetViews>
    <sheetView showGridLines="0" workbookViewId="0">
      <pane xSplit="3" ySplit="7" topLeftCell="D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</cols>
  <sheetData>
    <row r="1">
      <c r="A1" s="1" t="inlineStr">
        <is>
          <t>Run</t>
        </is>
      </c>
      <c r="B1" s="1" t="inlineStr">
        <is>
          <t>Cases</t>
        </is>
      </c>
      <c r="C1" s="1" t="inlineStr">
        <is>
          <t>Data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>
      <c r="A2" s="2" t="inlineStr">
        <is>
          <t>Thiết kế testcase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</row>
    <row r="3">
      <c r="A3" s="1" t="inlineStr">
        <is>
          <t>Revision</t>
        </is>
      </c>
      <c r="B3" s="1" t="inlineStr">
        <is>
          <t>design-v2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</row>
    <row r="4">
      <c r="A4" s="1" t="inlineStr">
        <is>
          <t>Feature</t>
        </is>
      </c>
      <c r="B4" s="1" t="inlineStr">
        <is>
          <t>FX-REVIEW score alert settings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</row>
    <row r="5">
      <c r="A5" s="1" t="inlineStr">
        <is>
          <t>Conventions</t>
        </is>
      </c>
      <c r="B5" s="1" t="inlineStr">
        <is>
          <t>scope-and-approach and test-data; stable variants independently reported; new design NOT RUN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</row>
    <row r="7" ht="32" customHeight="1">
      <c r="A7" s="5" t="inlineStr">
        <is>
          <t>Case ID</t>
        </is>
      </c>
      <c r="B7" s="5" t="inlineStr">
        <is>
          <t>Nhóm nghiệp vụ</t>
        </is>
      </c>
      <c r="C7" s="5" t="inlineStr">
        <is>
          <t>Tiêu đề</t>
        </is>
      </c>
      <c r="D7" s="5" t="inlineStr">
        <is>
          <t>Chức năng</t>
        </is>
      </c>
      <c r="E7" s="5" t="inlineStr">
        <is>
          <t>Căn cứ</t>
        </is>
      </c>
      <c r="F7" s="5" t="inlineStr">
        <is>
          <t>Priority</t>
        </is>
      </c>
      <c r="G7" s="5" t="inlineStr">
        <is>
          <t>Căn cứ kỳ vọng</t>
        </is>
      </c>
      <c r="H7" s="5" t="inlineStr">
        <is>
          <t>Readiness</t>
        </is>
      </c>
      <c r="I7" s="5" t="inlineStr">
        <is>
          <t>Gap</t>
        </is>
      </c>
      <c r="J7" s="5" t="inlineStr">
        <is>
          <t>Cấu hình</t>
        </is>
      </c>
      <c r="K7" s="5" t="inlineStr">
        <is>
          <t>Kích hoạt</t>
        </is>
      </c>
      <c r="L7" s="5" t="inlineStr">
        <is>
          <t>Quan sát</t>
        </is>
      </c>
      <c r="M7" s="5" t="inlineStr">
        <is>
          <t>Actor và quyền</t>
        </is>
      </c>
      <c r="N7" s="5" t="inlineStr">
        <is>
          <t>Fixture</t>
        </is>
      </c>
      <c r="O7" s="5" t="inlineStr">
        <is>
          <t>Thao tác</t>
        </is>
      </c>
      <c r="P7" s="5" t="inlineStr">
        <is>
          <t>Expected</t>
        </is>
      </c>
      <c r="Q7" s="5" t="inlineStr">
        <is>
          <t>Bảo toàn</t>
        </is>
      </c>
      <c r="R7" s="5" t="inlineStr">
        <is>
          <t>Bằng chứng</t>
        </is>
      </c>
      <c r="S7" s="5" t="inlineStr">
        <is>
          <t>Reset</t>
        </is>
      </c>
      <c r="T7" s="5" t="inlineStr">
        <is>
          <t>Steps</t>
        </is>
      </c>
      <c r="U7" s="5" t="inlineStr">
        <is>
          <t>Variants</t>
        </is>
      </c>
    </row>
    <row r="8" ht="36" customHeight="1">
      <c r="A8" s="1" t="inlineStr">
        <is>
          <t>TC-01</t>
        </is>
      </c>
      <c r="B8" s="1" t="inlineStr">
        <is>
          <t>Configure and recalculate</t>
        </is>
      </c>
      <c r="C8" s="1" t="inlineStr">
        <is>
          <t>threshold boundary</t>
        </is>
      </c>
      <c r="D8" s="1" t="inlineStr">
        <is>
          <t>Alert configuration/recalculation</t>
        </is>
      </c>
      <c r="E8" s="1" t="inlineStr">
        <is>
          <t>SPEC.md C1,C2; confirmation.md</t>
        </is>
      </c>
      <c r="F8" s="1" t="inlineStr">
        <is>
          <t>High</t>
        </is>
      </c>
      <c r="G8" s="1" t="inlineStr">
        <is>
          <t>Confirmed</t>
        </is>
      </c>
      <c r="H8" s="1" t="inlineStr">
        <is>
          <t>Ready</t>
        </is>
      </c>
      <c r="I8" s="1" t="inlineStr">
        <is>
          <t>none</t>
        </is>
      </c>
      <c r="J8" s="1" t="inlineStr">
        <is>
          <t>Alert Settings S-A/Y-2/C-A; threshold=80</t>
        </is>
      </c>
      <c r="K8" s="1" t="inlineStr">
        <is>
          <t>Recalculate -&gt; server AlertSettings.recalculate</t>
        </is>
      </c>
      <c r="L8" s="1" t="inlineStr">
        <is>
          <t>Score Results and saved target/non-target rows</t>
        </is>
      </c>
      <c r="M8" s="1" t="inlineStr">
        <is>
          <t>school-admin admin alias</t>
        </is>
      </c>
      <c r="N8" s="1" t="inlineStr">
        <is>
          <t>TD-01</t>
        </is>
      </c>
      <c r="O8" s="1" t="inlineStr">
        <is>
          <t>Recalculate each threshold parameter from restored state</t>
        </is>
      </c>
      <c r="P8" s="1" t="inlineStr">
        <is>
          <t>alert true for below; false for equal/above</t>
        </is>
      </c>
      <c r="Q8" s="1" t="inlineStr">
        <is>
          <t>Existing score entry and non-target saved values remain unchanged</t>
        </is>
      </c>
      <c r="R8" s="1" t="inlineStr">
        <is>
          <t>Capture before/after saved rows plus response and role, not button visibility alone</t>
        </is>
      </c>
      <c r="S8" s="1" t="inlineStr">
        <is>
          <t>Restore fixture-preparation.md snapshot and flags before next variant/case</t>
        </is>
      </c>
      <c r="T8" s="1" t="inlineStr"/>
      <c r="U8" s="1" t="inlineStr">
        <is>
          <t>below | score=79 | alert=true
equal | score=80 | alert=false
above | score=81 | alert=false</t>
        </is>
      </c>
    </row>
    <row r="9" ht="36" customHeight="1">
      <c r="A9" s="1" t="inlineStr">
        <is>
          <t>TC-02</t>
        </is>
      </c>
      <c r="B9" s="1" t="inlineStr">
        <is>
          <t>Configure and recalculate</t>
        </is>
      </c>
      <c r="C9" s="1" t="inlineStr">
        <is>
          <t>percentage fraction</t>
        </is>
      </c>
      <c r="D9" s="1" t="inlineStr">
        <is>
          <t>Alert configuration/recalculation</t>
        </is>
      </c>
      <c r="E9" s="1" t="inlineStr">
        <is>
          <t>SPEC.md C3; confirmation.md</t>
        </is>
      </c>
      <c r="F9" s="1" t="inlineStr">
        <is>
          <t>High</t>
        </is>
      </c>
      <c r="G9" s="1" t="inlineStr">
        <is>
          <t>Confirmed</t>
        </is>
      </c>
      <c r="H9" s="1" t="inlineStr">
        <is>
          <t>Ready</t>
        </is>
      </c>
      <c r="I9" s="1" t="inlineStr">
        <is>
          <t>none</t>
        </is>
      </c>
      <c r="J9" s="1" t="inlineStr">
        <is>
          <t>Alert Settings S-A/Y-2/C-A; threshold=80</t>
        </is>
      </c>
      <c r="K9" s="1" t="inlineStr">
        <is>
          <t>Recalculate -&gt; server AlertSettings.recalculate</t>
        </is>
      </c>
      <c r="L9" s="1" t="inlineStr">
        <is>
          <t>Score Results and saved target/non-target rows</t>
        </is>
      </c>
      <c r="M9" s="1" t="inlineStr">
        <is>
          <t>school-admin admin alias</t>
        </is>
      </c>
      <c r="N9" s="1" t="inlineStr">
        <is>
          <t>TD-01</t>
        </is>
      </c>
      <c r="O9" s="1" t="inlineStr">
        <is>
          <t>Set percent method; produce 79.9; execute</t>
        </is>
      </c>
      <c r="P9" s="1" t="inlineStr">
        <is>
          <t>79</t>
        </is>
      </c>
      <c r="Q9" s="1" t="inlineStr">
        <is>
          <t>Existing score entry and non-target saved values remain unchanged</t>
        </is>
      </c>
      <c r="R9" s="1" t="inlineStr">
        <is>
          <t>Capture before/after saved rows plus response and role, not button visibility alone</t>
        </is>
      </c>
      <c r="S9" s="1" t="inlineStr">
        <is>
          <t>Restore fixture-preparation.md snapshot and flags before next variant/case</t>
        </is>
      </c>
      <c r="T9" s="1" t="inlineStr"/>
      <c r="U9" s="1" t="inlineStr">
        <is>
          <t>fraction | positive percentage result=79.9 | 79</t>
        </is>
      </c>
    </row>
    <row r="10" ht="39" customHeight="1">
      <c r="A10" s="1" t="inlineStr">
        <is>
          <t>TC-03</t>
        </is>
      </c>
      <c r="B10" s="1" t="inlineStr">
        <is>
          <t>Configure and recalculate</t>
        </is>
      </c>
      <c r="C10" s="1" t="inlineStr">
        <is>
          <t>server role permission</t>
        </is>
      </c>
      <c r="D10" s="1" t="inlineStr">
        <is>
          <t>Alert configuration/recalculation</t>
        </is>
      </c>
      <c r="E10" s="1" t="inlineStr">
        <is>
          <t>SPEC.md C5; confirmation.md</t>
        </is>
      </c>
      <c r="F10" s="1" t="inlineStr">
        <is>
          <t>High</t>
        </is>
      </c>
      <c r="G10" s="1" t="inlineStr">
        <is>
          <t>Confirmed</t>
        </is>
      </c>
      <c r="H10" s="1" t="inlineStr">
        <is>
          <t>Ready</t>
        </is>
      </c>
      <c r="I10" s="1" t="inlineStr">
        <is>
          <t>none</t>
        </is>
      </c>
      <c r="J10" s="1" t="inlineStr">
        <is>
          <t>Alert Settings S-A/Y-2/C-A; threshold=80</t>
        </is>
      </c>
      <c r="K10" s="1" t="inlineStr">
        <is>
          <t>Recalculate -&gt; server AlertSettings.recalculate</t>
        </is>
      </c>
      <c r="L10" s="1" t="inlineStr">
        <is>
          <t>Score Results and saved target/non-target rows</t>
        </is>
      </c>
      <c r="M10" s="1" t="inlineStr">
        <is>
          <t>school-admin admin alias</t>
        </is>
      </c>
      <c r="N10" s="1" t="inlineStr">
        <is>
          <t>TD-01</t>
        </is>
      </c>
      <c r="O10" s="1" t="inlineStr">
        <is>
          <t>Call recalculation server seam with each actor alias</t>
        </is>
      </c>
      <c r="P10" s="1" t="inlineStr">
        <is>
          <t>Admin updates; teacher forbidden and no writes</t>
        </is>
      </c>
      <c r="Q10" s="1" t="inlineStr">
        <is>
          <t>Existing score entry and non-target saved values remain unchanged</t>
        </is>
      </c>
      <c r="R10" s="1" t="inlineStr">
        <is>
          <t>Capture before/after saved rows plus response and role, not button visibility alone</t>
        </is>
      </c>
      <c r="S10" s="1" t="inlineStr">
        <is>
          <t>Restore fixture-preparation.md snapshot and flags before next variant/case</t>
        </is>
      </c>
      <c r="T10" s="1" t="inlineStr"/>
      <c r="U10" s="1" t="inlineStr">
        <is>
          <t>admin | school-admin | update target
teacher | teacher direct server request | forbidden; all rows unchanged</t>
        </is>
      </c>
    </row>
    <row r="11" ht="36" customHeight="1">
      <c r="A11" s="1" t="inlineStr">
        <is>
          <t>TC-04</t>
        </is>
      </c>
      <c r="B11" s="1" t="inlineStr">
        <is>
          <t>Configure and recalculate</t>
        </is>
      </c>
      <c r="C11" s="1" t="inlineStr">
        <is>
          <t>target isolation</t>
        </is>
      </c>
      <c r="D11" s="1" t="inlineStr">
        <is>
          <t>Alert configuration/recalculation</t>
        </is>
      </c>
      <c r="E11" s="1" t="inlineStr">
        <is>
          <t>SPEC.md C4; confirmation.md</t>
        </is>
      </c>
      <c r="F11" s="1" t="inlineStr">
        <is>
          <t>High</t>
        </is>
      </c>
      <c r="G11" s="1" t="inlineStr">
        <is>
          <t>Confirmed</t>
        </is>
      </c>
      <c r="H11" s="1" t="inlineStr">
        <is>
          <t>Ready</t>
        </is>
      </c>
      <c r="I11" s="1" t="inlineStr">
        <is>
          <t>none</t>
        </is>
      </c>
      <c r="J11" s="1" t="inlineStr">
        <is>
          <t>Alert Settings S-A/Y-2/C-A; threshold=80</t>
        </is>
      </c>
      <c r="K11" s="1" t="inlineStr">
        <is>
          <t>Recalculate -&gt; server AlertSettings.recalculate</t>
        </is>
      </c>
      <c r="L11" s="1" t="inlineStr">
        <is>
          <t>Score Results and saved target/non-target rows</t>
        </is>
      </c>
      <c r="M11" s="1" t="inlineStr">
        <is>
          <t>school-admin admin alias</t>
        </is>
      </c>
      <c r="N11" s="1" t="inlineStr">
        <is>
          <t>TD-01</t>
        </is>
      </c>
      <c r="O11" s="1" t="inlineStr">
        <is>
          <t>Execute selected S-A/Y-2/C-A; compare target and three sentinels</t>
        </is>
      </c>
      <c r="P11" s="1" t="inlineStr">
        <is>
          <t>Target changes; non-target sentinels unchanged</t>
        </is>
      </c>
      <c r="Q11" s="1" t="inlineStr">
        <is>
          <t>Existing score entry and non-target saved values remain unchanged</t>
        </is>
      </c>
      <c r="R11" s="1" t="inlineStr">
        <is>
          <t>Capture before/after saved rows plus response and role, not button visibility alone</t>
        </is>
      </c>
      <c r="S11" s="1" t="inlineStr">
        <is>
          <t>Restore fixture-preparation.md snapshot and flags before next variant/case</t>
        </is>
      </c>
      <c r="T11" s="1" t="inlineStr"/>
      <c r="U11" s="1" t="inlineStr">
        <is>
          <t>base | TD-01 | Target changes; non-target sentinels unchanged</t>
        </is>
      </c>
    </row>
    <row r="12" ht="36" customHeight="1">
      <c r="A12" s="1" t="inlineStr">
        <is>
          <t>TC-05</t>
        </is>
      </c>
      <c r="B12" s="1" t="inlineStr">
        <is>
          <t>Configure and recalculate</t>
        </is>
      </c>
      <c r="C12" s="1" t="inlineStr">
        <is>
          <t>disabled preservation</t>
        </is>
      </c>
      <c r="D12" s="1" t="inlineStr">
        <is>
          <t>Alert configuration/recalculation</t>
        </is>
      </c>
      <c r="E12" s="1" t="inlineStr">
        <is>
          <t>SPEC.md C6; confirmation.md</t>
        </is>
      </c>
      <c r="F12" s="1" t="inlineStr">
        <is>
          <t>Medium</t>
        </is>
      </c>
      <c r="G12" s="1" t="inlineStr">
        <is>
          <t>Confirmed</t>
        </is>
      </c>
      <c r="H12" s="1" t="inlineStr">
        <is>
          <t>Ready</t>
        </is>
      </c>
      <c r="I12" s="1" t="inlineStr">
        <is>
          <t>none</t>
        </is>
      </c>
      <c r="J12" s="1" t="inlineStr">
        <is>
          <t>Alert Settings S-A/Y-2/C-A; threshold=80</t>
        </is>
      </c>
      <c r="K12" s="1" t="inlineStr">
        <is>
          <t>Recalculate -&gt; server AlertSettings.recalculate</t>
        </is>
      </c>
      <c r="L12" s="1" t="inlineStr">
        <is>
          <t>Score Results and saved target/non-target rows</t>
        </is>
      </c>
      <c r="M12" s="1" t="inlineStr">
        <is>
          <t>school-admin admin alias</t>
        </is>
      </c>
      <c r="N12" s="1" t="inlineStr">
        <is>
          <t>TD-01</t>
        </is>
      </c>
      <c r="O12" s="1" t="inlineStr">
        <is>
          <t>Set enabled=false; execute</t>
        </is>
      </c>
      <c r="P12" s="1" t="inlineStr">
        <is>
          <t>Skipped; existing rows byte-equivalent</t>
        </is>
      </c>
      <c r="Q12" s="1" t="inlineStr">
        <is>
          <t>Existing score entry and non-target saved values remain unchanged</t>
        </is>
      </c>
      <c r="R12" s="1" t="inlineStr">
        <is>
          <t>Capture before/after saved rows plus response and role, not button visibility alone</t>
        </is>
      </c>
      <c r="S12" s="1" t="inlineStr">
        <is>
          <t>Restore fixture-preparation.md snapshot and flags before next variant/case</t>
        </is>
      </c>
      <c r="T12" s="1" t="inlineStr"/>
      <c r="U12" s="1" t="inlineStr">
        <is>
          <t>base | TD-01 | Skipped; existing rows byte-equivalent</t>
        </is>
      </c>
    </row>
    <row r="13" ht="36" customHeight="1">
      <c r="A13" s="1" t="inlineStr">
        <is>
          <t>TC-06</t>
        </is>
      </c>
      <c r="B13" s="1" t="inlineStr">
        <is>
          <t>Configure and recalculate</t>
        </is>
      </c>
      <c r="C13" s="1" t="inlineStr">
        <is>
          <t>missing source preservation</t>
        </is>
      </c>
      <c r="D13" s="1" t="inlineStr">
        <is>
          <t>Alert configuration/recalculation</t>
        </is>
      </c>
      <c r="E13" s="1" t="inlineStr">
        <is>
          <t>SPEC.md C8; confirmation.md</t>
        </is>
      </c>
      <c r="F13" s="1" t="inlineStr">
        <is>
          <t>High</t>
        </is>
      </c>
      <c r="G13" s="1" t="inlineStr">
        <is>
          <t>Confirmed</t>
        </is>
      </c>
      <c r="H13" s="1" t="inlineStr">
        <is>
          <t>Blocked</t>
        </is>
      </c>
      <c r="I13" s="1" t="inlineStr">
        <is>
          <t>G-PREP</t>
        </is>
      </c>
      <c r="J13" s="1" t="inlineStr">
        <is>
          <t>Alert Settings S-A/Y-2/C-A; threshold=80</t>
        </is>
      </c>
      <c r="K13" s="1" t="inlineStr">
        <is>
          <t>Recalculate -&gt; server AlertSettings.recalculate</t>
        </is>
      </c>
      <c r="L13" s="1" t="inlineStr">
        <is>
          <t>Score Results and saved target/non-target rows</t>
        </is>
      </c>
      <c r="M13" s="1" t="inlineStr">
        <is>
          <t>school-admin admin alias</t>
        </is>
      </c>
      <c r="N13" s="1" t="inlineStr">
        <is>
          <t>TD-01</t>
        </is>
      </c>
      <c r="O13" s="1" t="inlineStr">
        <is>
          <t>Arrange missing source score; execute</t>
        </is>
      </c>
      <c r="P13" s="1" t="inlineStr">
        <is>
          <t>source-score-missing; all saved rows unchanged</t>
        </is>
      </c>
      <c r="Q13" s="1" t="inlineStr">
        <is>
          <t>Existing score entry and non-target saved values remain unchanged</t>
        </is>
      </c>
      <c r="R13" s="1" t="inlineStr">
        <is>
          <t>Capture before/after saved rows plus response and role, not button visibility alone</t>
        </is>
      </c>
      <c r="S13" s="1" t="inlineStr">
        <is>
          <t>Restore fixture-preparation.md snapshot and flags before next variant/case</t>
        </is>
      </c>
      <c r="T13" s="1" t="inlineStr"/>
      <c r="U13" s="1" t="inlineStr">
        <is>
          <t>base | TD-01 | source-score-missing; all saved rows unchanged</t>
        </is>
      </c>
    </row>
  </sheetData>
  <autoFilter ref="A7:U13"/>
  <hyperlinks>
    <hyperlink xmlns:r="http://schemas.openxmlformats.org/officeDocument/2006/relationships" ref="A1" r:id="rId1"/>
    <hyperlink xmlns:r="http://schemas.openxmlformats.org/officeDocument/2006/relationships" ref="B1" r:id="rId2"/>
    <hyperlink xmlns:r="http://schemas.openxmlformats.org/officeDocument/2006/relationships" ref="C1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</hyperlink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54"/>
  <sheetViews>
    <sheetView showGridLines="0" workbookViewId="0">
      <pane xSplit="1" ySplit="7" topLeftCell="B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70" customWidth="1" min="2" max="2"/>
    <col width="18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Run</t>
        </is>
      </c>
      <c r="B1" s="1" t="inlineStr">
        <is>
          <t>Cases</t>
        </is>
      </c>
      <c r="C1" s="1" t="inlineStr">
        <is>
          <t>Data</t>
        </is>
      </c>
      <c r="D1" s="1" t="n"/>
      <c r="E1" s="1" t="n"/>
      <c r="F1" s="1" t="n"/>
      <c r="G1" s="1" t="n"/>
      <c r="H1" s="1" t="n"/>
      <c r="I1" s="1" t="n"/>
    </row>
    <row r="2">
      <c r="A2" s="2" t="inlineStr">
        <is>
          <t>Dữ liệu và căn cứ</t>
        </is>
      </c>
      <c r="B2" s="3" t="n"/>
      <c r="C2" s="3" t="n"/>
      <c r="D2" s="3" t="n"/>
      <c r="E2" s="3" t="n"/>
      <c r="F2" s="3" t="n"/>
      <c r="G2" s="3" t="n"/>
      <c r="H2" s="3" t="n"/>
      <c r="I2" s="3" t="n"/>
    </row>
    <row r="3">
      <c r="A3" s="1" t="inlineStr">
        <is>
          <t>Revision</t>
        </is>
      </c>
      <c r="B3" s="1" t="inlineStr">
        <is>
          <t>design-v2</t>
        </is>
      </c>
      <c r="C3" s="1" t="n"/>
      <c r="D3" s="1" t="n"/>
      <c r="E3" s="1" t="n"/>
      <c r="F3" s="1" t="n"/>
      <c r="G3" s="1" t="n"/>
      <c r="H3" s="1" t="n"/>
      <c r="I3" s="1" t="n"/>
    </row>
    <row r="4">
      <c r="A4" s="1" t="inlineStr">
        <is>
          <t>Conventions</t>
        </is>
      </c>
      <c r="B4" s="1" t="inlineStr">
        <is>
          <t>Synthetic aliases only; fixture-preparation.md; no real personal/secrets</t>
        </is>
      </c>
      <c r="C4" s="1" t="n"/>
      <c r="D4" s="1" t="n"/>
      <c r="E4" s="1" t="n"/>
      <c r="F4" s="1" t="n"/>
      <c r="G4" s="1" t="n"/>
      <c r="H4" s="1" t="n"/>
      <c r="I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</row>
    <row r="7" ht="32" customHeight="1">
      <c r="A7" s="5" t="inlineStr">
        <is>
          <t>Fixture ID</t>
        </is>
      </c>
      <c r="B7" s="5" t="inlineStr">
        <is>
          <t>Vai trò</t>
        </is>
      </c>
      <c r="C7" s="5" t="inlineStr">
        <is>
          <t>Phạm vi</t>
        </is>
      </c>
      <c r="D7" s="5" t="inlineStr">
        <is>
          <t>Trạng thái</t>
        </is>
      </c>
      <c r="E7" s="5" t="inlineStr">
        <is>
          <t>Giá trị</t>
        </is>
      </c>
      <c r="F7" s="5" t="inlineStr">
        <is>
          <t>Target và non-target</t>
        </is>
      </c>
      <c r="G7" s="5" t="inlineStr">
        <is>
          <t>Tạo</t>
        </is>
      </c>
      <c r="H7" s="5" t="inlineStr">
        <is>
          <t>Kiểm tra</t>
        </is>
      </c>
      <c r="I7" s="5" t="inlineStr">
        <is>
          <t>Reset</t>
        </is>
      </c>
    </row>
    <row r="8" ht="36" customHeight="1">
      <c r="A8" s="1" t="inlineStr">
        <is>
          <t>TD-01</t>
        </is>
      </c>
      <c r="B8" s="1" t="inlineStr">
        <is>
          <t>admin/teacher aliases; actor per variant</t>
        </is>
      </c>
      <c r="C8" s="1" t="inlineStr">
        <is>
          <t>S-A/Y-2/C-A; all three non-target sentinels</t>
        </is>
      </c>
      <c r="D8" s="1" t="inlineStr">
        <is>
          <t>saved rows exist; enabled configurable; missing-score preparation unavailable</t>
        </is>
      </c>
      <c r="E8" s="1" t="inlineStr">
        <is>
          <t>T1=17; inputs 79/80/81; percent results79.9/80.1</t>
        </is>
      </c>
      <c r="F8" s="1" t="inlineStr">
        <is>
          <t>T1; N-school=31; N-year=43; N-course=59</t>
        </is>
      </c>
      <c r="G8" s="1" t="inlineStr">
        <is>
          <t>Use preloaded isolated fixture alias as fixture-preparation.md; no SQL</t>
        </is>
      </c>
      <c r="H8" s="1" t="inlineStr">
        <is>
          <t>Verify scope/role/saved values and flags before each case</t>
        </is>
      </c>
      <c r="I8" s="1" t="inlineStr">
        <is>
          <t>Restore every saved value/flag before each variant/case; verify snapshot</t>
        </is>
      </c>
    </row>
    <row r="9" ht="36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</row>
    <row r="10" ht="36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</row>
    <row r="11" ht="36" customHeight="1">
      <c r="A11" s="1" t="inlineStr">
        <is>
          <t>Scope / research / coverage / gaps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</row>
    <row r="12" ht="36" customHeight="1">
      <c r="A12" s="1" t="inlineStr">
        <is>
          <t>scope-and-approach</t>
        </is>
      </c>
      <c r="B12" s="1" t="inlineStr">
        <is>
          <t>&lt;!-- blend-template: scope-and-approach@1.0.0 --&gt;</t>
        </is>
      </c>
      <c r="C12" s="1" t="n"/>
      <c r="D12" s="1" t="n"/>
      <c r="E12" s="1" t="n"/>
      <c r="F12" s="1" t="n"/>
      <c r="G12" s="1" t="n"/>
      <c r="H12" s="1" t="n"/>
      <c r="I12" s="1" t="n"/>
    </row>
    <row r="13" ht="36" customHeight="1">
      <c r="A13" s="1" t="inlineStr">
        <is>
          <t>scope-and-approach</t>
        </is>
      </c>
      <c r="B13" s="1" t="inlineStr">
        <is>
          <t># FX-REVIEW — Test scope</t>
        </is>
      </c>
      <c r="C13" s="1" t="n"/>
      <c r="D13" s="1" t="n"/>
      <c r="E13" s="1" t="n"/>
      <c r="F13" s="1" t="n"/>
      <c r="G13" s="1" t="n"/>
      <c r="H13" s="1" t="n"/>
      <c r="I13" s="1" t="n"/>
    </row>
    <row r="14" ht="36" customHeight="1">
      <c r="A14" s="1" t="inlineStr">
        <is>
          <t>scope-and-approach</t>
        </is>
      </c>
      <c r="B14" s="1" t="inlineStr">
        <is>
          <t>## Mục tiêu và căn cứ</t>
        </is>
      </c>
      <c r="C14" s="1" t="n"/>
      <c r="D14" s="1" t="n"/>
      <c r="E14" s="1" t="n"/>
      <c r="F14" s="1" t="n"/>
      <c r="G14" s="1" t="n"/>
      <c r="H14" s="1" t="n"/>
      <c r="I14" s="1" t="n"/>
    </row>
    <row r="15" ht="36" customHeight="1">
      <c r="A15" s="1" t="inlineStr">
        <is>
          <t>scope-and-approach</t>
        </is>
      </c>
      <c r="B15" s="1" t="inlineStr">
        <is>
          <t>| Field | Value |</t>
        </is>
      </c>
      <c r="C15" s="1" t="n"/>
      <c r="D15" s="1" t="n"/>
      <c r="E15" s="1" t="n"/>
      <c r="F15" s="1" t="n"/>
      <c r="G15" s="1" t="n"/>
      <c r="H15" s="1" t="n"/>
      <c r="I15" s="1" t="n"/>
    </row>
    <row r="16" ht="36" customHeight="1">
      <c r="A16" s="1" t="inlineStr">
        <is>
          <t>scope-and-approach</t>
        </is>
      </c>
      <c r="B16" s="1" t="inlineStr">
        <is>
          <t>| --- | --- |</t>
        </is>
      </c>
      <c r="C16" s="1" t="n"/>
      <c r="D16" s="1" t="n"/>
      <c r="E16" s="1" t="n"/>
      <c r="F16" s="1" t="n"/>
      <c r="G16" s="1" t="n"/>
      <c r="H16" s="1" t="n"/>
      <c r="I16" s="1" t="n"/>
    </row>
    <row r="17" ht="36" customHeight="1">
      <c r="A17" s="1" t="inlineStr">
        <is>
          <t>scope-and-approach</t>
        </is>
      </c>
      <c r="B17" s="1" t="inlineStr">
        <is>
          <t>| Revision | design-v2 |</t>
        </is>
      </c>
      <c r="C17" s="1" t="n"/>
      <c r="D17" s="1" t="n"/>
      <c r="E17" s="1" t="n"/>
      <c r="F17" s="1" t="n"/>
      <c r="G17" s="1" t="n"/>
      <c r="H17" s="1" t="n"/>
      <c r="I17" s="1" t="n"/>
    </row>
    <row r="18" ht="36" customHeight="1">
      <c r="A18" s="1" t="inlineStr">
        <is>
          <t>scope-and-approach</t>
        </is>
      </c>
      <c r="B18" s="1" t="inlineStr">
        <is>
          <t>| Nguồn | FX-REVIEW SPEC.md revision 2; confirmation.md Q1-Q4 |</t>
        </is>
      </c>
      <c r="C18" s="1" t="n"/>
      <c r="D18" s="1" t="n"/>
      <c r="E18" s="1" t="n"/>
      <c r="F18" s="1" t="n"/>
      <c r="G18" s="1" t="n"/>
      <c r="H18" s="1" t="n"/>
      <c r="I18" s="1" t="n"/>
    </row>
    <row r="19" ht="36" customHeight="1">
      <c r="A19" s="1" t="inlineStr">
        <is>
          <t>scope-and-approach</t>
        </is>
      </c>
      <c r="B19" s="1" t="inlineStr">
        <is>
          <t>| Căn cứ research | Standalone raw source/context plus decisive guards/code |</t>
        </is>
      </c>
      <c r="C19" s="1" t="n"/>
      <c r="D19" s="1" t="n"/>
      <c r="E19" s="1" t="n"/>
      <c r="F19" s="1" t="n"/>
      <c r="G19" s="1" t="n"/>
      <c r="H19" s="1" t="n"/>
      <c r="I19" s="1" t="n"/>
    </row>
    <row r="20" ht="36" customHeight="1">
      <c r="A20" s="1" t="inlineStr">
        <is>
          <t>scope-and-approach</t>
        </is>
      </c>
      <c r="B20" s="1" t="inlineStr">
        <is>
          <t>| Baseline code | Synthetic source snapshot; no Git/runtime; see SNAPSHOT.md |</t>
        </is>
      </c>
      <c r="C20" s="1" t="n"/>
      <c r="D20" s="1" t="n"/>
      <c r="E20" s="1" t="n"/>
      <c r="F20" s="1" t="n"/>
      <c r="G20" s="1" t="n"/>
      <c r="H20" s="1" t="n"/>
      <c r="I20" s="1" t="n"/>
    </row>
    <row r="21" ht="36" customHeight="1">
      <c r="A21" s="1" t="inlineStr">
        <is>
          <t>scope-and-approach</t>
        </is>
      </c>
      <c r="B21" s="1" t="inlineStr">
        <is>
          <t>| Mode | standalone |</t>
        </is>
      </c>
      <c r="C21" s="1" t="n"/>
      <c r="D21" s="1" t="n"/>
      <c r="E21" s="1" t="n"/>
      <c r="F21" s="1" t="n"/>
      <c r="G21" s="1" t="n"/>
      <c r="H21" s="1" t="n"/>
      <c r="I21" s="1" t="n"/>
    </row>
    <row r="22" ht="36" customHeight="1">
      <c r="A22" s="1" t="inlineStr">
        <is>
          <t>scope-and-approach</t>
        </is>
      </c>
      <c r="B22" s="1" t="inlineStr">
        <is>
          <t>| Giới hạn | No runtime/render/recalculation proof |</t>
        </is>
      </c>
      <c r="C22" s="1" t="n"/>
      <c r="D22" s="1" t="n"/>
      <c r="E22" s="1" t="n"/>
      <c r="F22" s="1" t="n"/>
      <c r="G22" s="1" t="n"/>
      <c r="H22" s="1" t="n"/>
      <c r="I22" s="1" t="n"/>
    </row>
    <row r="23" ht="36" customHeight="1">
      <c r="A23" s="1" t="inlineStr">
        <is>
          <t>scope-and-approach</t>
        </is>
      </c>
      <c r="B23" s="1" t="inlineStr">
        <is>
          <t>## Phạm vi</t>
        </is>
      </c>
      <c r="C23" s="1" t="n"/>
      <c r="D23" s="1" t="n"/>
      <c r="E23" s="1" t="n"/>
      <c r="F23" s="1" t="n"/>
      <c r="G23" s="1" t="n"/>
      <c r="H23" s="1" t="n"/>
      <c r="I23" s="1" t="n"/>
    </row>
    <row r="24" ht="36" customHeight="1">
      <c r="A24" s="1" t="inlineStr">
        <is>
          <t>scope-and-approach</t>
        </is>
      </c>
      <c r="B24" s="1" t="inlineStr">
        <is>
          <t>| Field | Value |</t>
        </is>
      </c>
      <c r="C24" s="1" t="n"/>
      <c r="D24" s="1" t="n"/>
      <c r="E24" s="1" t="n"/>
      <c r="F24" s="1" t="n"/>
      <c r="G24" s="1" t="n"/>
      <c r="H24" s="1" t="n"/>
      <c r="I24" s="1" t="n"/>
    </row>
    <row r="25" ht="36" customHeight="1">
      <c r="A25" s="1" t="inlineStr">
        <is>
          <t>scope-and-approach</t>
        </is>
      </c>
      <c r="B25" s="1" t="inlineStr">
        <is>
          <t>| --- | --- |</t>
        </is>
      </c>
      <c r="C25" s="1" t="n"/>
      <c r="D25" s="1" t="n"/>
      <c r="E25" s="1" t="n"/>
      <c r="F25" s="1" t="n"/>
      <c r="G25" s="1" t="n"/>
      <c r="H25" s="1" t="n"/>
      <c r="I25" s="1" t="n"/>
    </row>
    <row r="26" ht="36" customHeight="1">
      <c r="A26" s="1" t="inlineStr">
        <is>
          <t>scope-and-approach</t>
        </is>
      </c>
      <c r="B26" s="1" t="inlineStr">
        <is>
          <t>| Trong scope | C1-C8 alert setting/recalculation/result preservation |</t>
        </is>
      </c>
      <c r="C26" s="1" t="n"/>
      <c r="D26" s="1" t="n"/>
      <c r="E26" s="1" t="n"/>
      <c r="F26" s="1" t="n"/>
      <c r="G26" s="1" t="n"/>
      <c r="H26" s="1" t="n"/>
      <c r="I26" s="1" t="n"/>
    </row>
    <row r="27" ht="36" customHeight="1">
      <c r="A27" s="1" t="inlineStr">
        <is>
          <t>scope-and-approach</t>
        </is>
      </c>
      <c r="B27" s="1" t="inlineStr">
        <is>
          <t>| Ngoài scope | Existing score entry; not changed |</t>
        </is>
      </c>
      <c r="C27" s="1" t="n"/>
      <c r="D27" s="1" t="n"/>
      <c r="E27" s="1" t="n"/>
      <c r="F27" s="1" t="n"/>
      <c r="G27" s="1" t="n"/>
      <c r="H27" s="1" t="n"/>
      <c r="I27" s="1" t="n"/>
    </row>
    <row r="28" ht="36" customHeight="1">
      <c r="A28" s="1" t="inlineStr">
        <is>
          <t>scope-and-approach</t>
        </is>
      </c>
      <c r="B28" s="1" t="inlineStr">
        <is>
          <t>| Vai trò | school-admin; teacher negative role |</t>
        </is>
      </c>
      <c r="C28" s="1" t="n"/>
      <c r="D28" s="1" t="n"/>
      <c r="E28" s="1" t="n"/>
      <c r="F28" s="1" t="n"/>
      <c r="G28" s="1" t="n"/>
      <c r="H28" s="1" t="n"/>
      <c r="I28" s="1" t="n"/>
    </row>
    <row r="29" ht="36" customHeight="1">
      <c r="A29" s="1" t="inlineStr">
        <is>
          <t>scope-and-approach</t>
        </is>
      </c>
      <c r="B29" s="1" t="inlineStr">
        <is>
          <t>## Chuẩn bị và cách chạy</t>
        </is>
      </c>
      <c r="C29" s="1" t="n"/>
      <c r="D29" s="1" t="n"/>
      <c r="E29" s="1" t="n"/>
      <c r="F29" s="1" t="n"/>
      <c r="G29" s="1" t="n"/>
      <c r="H29" s="1" t="n"/>
      <c r="I29" s="1" t="n"/>
    </row>
    <row r="30" ht="36" customHeight="1">
      <c r="A30" s="1" t="inlineStr">
        <is>
          <t>scope-and-approach</t>
        </is>
      </c>
      <c r="B30" s="1" t="inlineStr">
        <is>
          <t>| Field | Value |</t>
        </is>
      </c>
      <c r="C30" s="1" t="n"/>
      <c r="D30" s="1" t="n"/>
      <c r="E30" s="1" t="n"/>
      <c r="F30" s="1" t="n"/>
      <c r="G30" s="1" t="n"/>
      <c r="H30" s="1" t="n"/>
      <c r="I30" s="1" t="n"/>
    </row>
    <row r="31" ht="36" customHeight="1">
      <c r="A31" s="1" t="inlineStr">
        <is>
          <t>scope-and-approach</t>
        </is>
      </c>
      <c r="B31" s="1" t="inlineStr">
        <is>
          <t>| --- | --- |</t>
        </is>
      </c>
      <c r="C31" s="1" t="n"/>
      <c r="D31" s="1" t="n"/>
      <c r="E31" s="1" t="n"/>
      <c r="F31" s="1" t="n"/>
      <c r="G31" s="1" t="n"/>
      <c r="H31" s="1" t="n"/>
      <c r="I31" s="1" t="n"/>
    </row>
    <row r="32" ht="36" customHeight="1">
      <c r="A32" s="1" t="inlineStr">
        <is>
          <t>scope-and-approach</t>
        </is>
      </c>
      <c r="B32" s="1" t="inlineStr">
        <is>
          <t>| Môi trường | isolated synthetic fixture harness, not production |</t>
        </is>
      </c>
      <c r="C32" s="1" t="n"/>
      <c r="D32" s="1" t="n"/>
      <c r="E32" s="1" t="n"/>
      <c r="F32" s="1" t="n"/>
      <c r="G32" s="1" t="n"/>
      <c r="H32" s="1" t="n"/>
      <c r="I32" s="1" t="n"/>
    </row>
    <row r="33" ht="36" customHeight="1">
      <c r="A33" s="1" t="inlineStr">
        <is>
          <t>scope-and-approach</t>
        </is>
      </c>
      <c r="B33" s="1" t="inlineStr">
        <is>
          <t>| Chuẩn bị | fixture-preparation.md; missing-score fixture unavailable |</t>
        </is>
      </c>
      <c r="C33" s="1" t="n"/>
      <c r="D33" s="1" t="n"/>
      <c r="E33" s="1" t="n"/>
      <c r="F33" s="1" t="n"/>
      <c r="G33" s="1" t="n"/>
      <c r="H33" s="1" t="n"/>
      <c r="I33" s="1" t="n"/>
    </row>
    <row r="34" ht="36" customHeight="1">
      <c r="A34" s="1" t="inlineStr">
        <is>
          <t>scope-and-approach</t>
        </is>
      </c>
      <c r="B34" s="1" t="inlineStr">
        <is>
          <t>| Chọn lượt chạy | Flow order; High first respecting readiness |</t>
        </is>
      </c>
      <c r="C34" s="1" t="n"/>
      <c r="D34" s="1" t="n"/>
      <c r="E34" s="1" t="n"/>
      <c r="F34" s="1" t="n"/>
      <c r="G34" s="1" t="n"/>
      <c r="H34" s="1" t="n"/>
      <c r="I34" s="1" t="n"/>
    </row>
    <row r="35" ht="36" customHeight="1">
      <c r="A35" s="1" t="inlineStr">
        <is>
          <t>scope-and-approach</t>
        </is>
      </c>
      <c r="B35" s="1" t="inlineStr">
        <is>
          <t>| Điều kiện bắt đầu | Confirmed oracle and prepared fixture; blocked case not runnable |</t>
        </is>
      </c>
      <c r="C35" s="1" t="n"/>
      <c r="D35" s="1" t="n"/>
      <c r="E35" s="1" t="n"/>
      <c r="F35" s="1" t="n"/>
      <c r="G35" s="1" t="n"/>
      <c r="H35" s="1" t="n"/>
      <c r="I35" s="1" t="n"/>
    </row>
    <row r="36" ht="36" customHeight="1">
      <c r="A36" s="1" t="inlineStr">
        <is>
          <t>scope-and-approach</t>
        </is>
      </c>
      <c r="B36" s="1" t="inlineStr">
        <is>
          <t>| Điều kiện kết thúc | No complete execution claim with gaps |</t>
        </is>
      </c>
      <c r="C36" s="1" t="n"/>
      <c r="D36" s="1" t="n"/>
      <c r="E36" s="1" t="n"/>
      <c r="F36" s="1" t="n"/>
      <c r="G36" s="1" t="n"/>
      <c r="H36" s="1" t="n"/>
      <c r="I36" s="1" t="n"/>
    </row>
    <row r="37" ht="36" customHeight="1">
      <c r="A37" s="1" t="inlineStr">
        <is>
          <t>scope-and-approach</t>
        </is>
      </c>
      <c r="B37" s="1" t="inlineStr">
        <is>
          <t>| Bằng chứng | Record before/after target and sentinel values, role/error response |</t>
        </is>
      </c>
      <c r="C37" s="1" t="n"/>
      <c r="D37" s="1" t="n"/>
      <c r="E37" s="1" t="n"/>
      <c r="F37" s="1" t="n"/>
      <c r="G37" s="1" t="n"/>
      <c r="H37" s="1" t="n"/>
      <c r="I37" s="1" t="n"/>
    </row>
    <row r="38" ht="36" customHeight="1">
      <c r="A38" s="1" t="inlineStr">
        <is>
          <t>scope-and-approach</t>
        </is>
      </c>
      <c r="B38" s="1" t="inlineStr">
        <is>
          <t>## Coverage và gaps</t>
        </is>
      </c>
      <c r="C38" s="1" t="n"/>
      <c r="D38" s="1" t="n"/>
      <c r="E38" s="1" t="n"/>
      <c r="F38" s="1" t="n"/>
      <c r="G38" s="1" t="n"/>
      <c r="H38" s="1" t="n"/>
      <c r="I38" s="1" t="n"/>
    </row>
    <row r="39" ht="36" customHeight="1">
      <c r="A39" s="1" t="inlineStr">
        <is>
          <t>scope-and-approach</t>
        </is>
      </c>
      <c r="B39" s="1" t="inlineStr">
        <is>
          <t>### Coverage</t>
        </is>
      </c>
      <c r="C39" s="1" t="n"/>
      <c r="D39" s="1" t="n"/>
      <c r="E39" s="1" t="n"/>
      <c r="F39" s="1" t="n"/>
      <c r="G39" s="1" t="n"/>
      <c r="H39" s="1" t="n"/>
      <c r="I39" s="1" t="n"/>
    </row>
    <row r="40" ht="36" customHeight="1">
      <c r="A40" s="1" t="inlineStr">
        <is>
          <t>scope-and-approach</t>
        </is>
      </c>
      <c r="B40" s="1" t="inlineStr">
        <is>
          <t>| Clause / anchor | Obligation / branch | Case / variant / gap | Rationale / proof limit |</t>
        </is>
      </c>
      <c r="C40" s="1" t="n"/>
      <c r="D40" s="1" t="n"/>
      <c r="E40" s="1" t="n"/>
      <c r="F40" s="1" t="n"/>
      <c r="G40" s="1" t="n"/>
      <c r="H40" s="1" t="n"/>
      <c r="I40" s="1" t="n"/>
    </row>
    <row r="41" ht="36" customHeight="1">
      <c r="A41" s="1" t="inlineStr">
        <is>
          <t>scope-and-approach</t>
        </is>
      </c>
      <c r="B41" s="1" t="inlineStr">
        <is>
          <t>| --- | --- | --- | --- |</t>
        </is>
      </c>
      <c r="C41" s="1" t="n"/>
      <c r="D41" s="1" t="n"/>
      <c r="E41" s="1" t="n"/>
      <c r="F41" s="1" t="n"/>
      <c r="G41" s="1" t="n"/>
      <c r="H41" s="1" t="n"/>
      <c r="I41" s="1" t="n"/>
    </row>
    <row r="42" ht="39" customHeight="1">
      <c r="A42" s="1" t="inlineStr">
        <is>
          <t>scope-and-approach</t>
        </is>
      </c>
      <c r="B42" s="1" t="inlineStr">
        <is>
          <t>| SPEC.md C1 | configuration and trigger/observation | TC-01:below | Design mapping only; no executed proof |</t>
        </is>
      </c>
      <c r="C42" s="1" t="n"/>
      <c r="D42" s="1" t="n"/>
      <c r="E42" s="1" t="n"/>
      <c r="F42" s="1" t="n"/>
      <c r="G42" s="1" t="n"/>
      <c r="H42" s="1" t="n"/>
      <c r="I42" s="1" t="n"/>
    </row>
    <row r="43" ht="39" customHeight="1">
      <c r="A43" s="1" t="inlineStr">
        <is>
          <t>scope-and-approach</t>
        </is>
      </c>
      <c r="B43" s="1" t="inlineStr">
        <is>
          <t>| SPEC.md C2 | below/equal/above threshold | TC-01:below, TC-01:equal, TC-01:above | Design mapping only; no executed proof |</t>
        </is>
      </c>
      <c r="C43" s="1" t="n"/>
      <c r="D43" s="1" t="n"/>
      <c r="E43" s="1" t="n"/>
      <c r="F43" s="1" t="n"/>
      <c r="G43" s="1" t="n"/>
      <c r="H43" s="1" t="n"/>
      <c r="I43" s="1" t="n"/>
    </row>
    <row r="44" ht="36" customHeight="1">
      <c r="A44" s="1" t="inlineStr">
        <is>
          <t>scope-and-approach</t>
        </is>
      </c>
      <c r="B44" s="1" t="inlineStr">
        <is>
          <t>| SPEC.md C3 | percentage truncation | TC-02:fraction | Design mapping only; no executed proof |</t>
        </is>
      </c>
      <c r="C44" s="1" t="n"/>
      <c r="D44" s="1" t="n"/>
      <c r="E44" s="1" t="n"/>
      <c r="F44" s="1" t="n"/>
      <c r="G44" s="1" t="n"/>
      <c r="H44" s="1" t="n"/>
      <c r="I44" s="1" t="n"/>
    </row>
    <row r="45" ht="36" customHeight="1">
      <c r="A45" s="1" t="inlineStr">
        <is>
          <t>scope-and-approach</t>
        </is>
      </c>
      <c r="B45" s="1" t="inlineStr">
        <is>
          <t>| SPEC.md C4 | school/year/course isolation | TC-04:base | Design mapping only; no executed proof |</t>
        </is>
      </c>
      <c r="C45" s="1" t="n"/>
      <c r="D45" s="1" t="n"/>
      <c r="E45" s="1" t="n"/>
      <c r="F45" s="1" t="n"/>
      <c r="G45" s="1" t="n"/>
      <c r="H45" s="1" t="n"/>
      <c r="I45" s="1" t="n"/>
    </row>
    <row r="46" ht="39" customHeight="1">
      <c r="A46" s="1" t="inlineStr">
        <is>
          <t>scope-and-approach</t>
        </is>
      </c>
      <c r="B46" s="1" t="inlineStr">
        <is>
          <t>| SPEC.md C5 | server role rejection | TC-03:admin, TC-03:teacher | Design mapping only; no executed proof |</t>
        </is>
      </c>
      <c r="C46" s="1" t="n"/>
      <c r="D46" s="1" t="n"/>
      <c r="E46" s="1" t="n"/>
      <c r="F46" s="1" t="n"/>
      <c r="G46" s="1" t="n"/>
      <c r="H46" s="1" t="n"/>
      <c r="I46" s="1" t="n"/>
    </row>
    <row r="47" ht="36" customHeight="1">
      <c r="A47" s="1" t="inlineStr">
        <is>
          <t>scope-and-approach</t>
        </is>
      </c>
      <c r="B47" s="1" t="inlineStr">
        <is>
          <t>| SPEC.md C6 | disabled preserves rows | TC-05:base | Design mapping only; no executed proof |</t>
        </is>
      </c>
      <c r="C47" s="1" t="n"/>
      <c r="D47" s="1" t="n"/>
      <c r="E47" s="1" t="n"/>
      <c r="F47" s="1" t="n"/>
      <c r="G47" s="1" t="n"/>
      <c r="H47" s="1" t="n"/>
      <c r="I47" s="1" t="n"/>
    </row>
    <row r="48" ht="36" customHeight="1">
      <c r="A48" s="1" t="inlineStr">
        <is>
          <t>scope-and-approach</t>
        </is>
      </c>
      <c r="B48" s="1" t="inlineStr">
        <is>
          <t>| SPEC.md C7 | subtraction rounding undecided | G-ROUND | Design mapping only; no executed proof |</t>
        </is>
      </c>
      <c r="C48" s="1" t="n"/>
      <c r="D48" s="1" t="n"/>
      <c r="E48" s="1" t="n"/>
      <c r="F48" s="1" t="n"/>
      <c r="G48" s="1" t="n"/>
      <c r="H48" s="1" t="n"/>
      <c r="I48" s="1" t="n"/>
    </row>
    <row r="49" ht="39" customHeight="1">
      <c r="A49" s="1" t="inlineStr">
        <is>
          <t>scope-and-approach</t>
        </is>
      </c>
      <c r="B49" s="1" t="inlineStr">
        <is>
          <t>| SPEC.md C8 | missing source error preserves all rows | TC-06:base | Design mapping only; no executed proof |</t>
        </is>
      </c>
      <c r="C49" s="1" t="n"/>
      <c r="D49" s="1" t="n"/>
      <c r="E49" s="1" t="n"/>
      <c r="F49" s="1" t="n"/>
      <c r="G49" s="1" t="n"/>
      <c r="H49" s="1" t="n"/>
      <c r="I49" s="1" t="n"/>
    </row>
    <row r="50" ht="36" customHeight="1">
      <c r="A50" s="1" t="inlineStr">
        <is>
          <t>scope-and-approach</t>
        </is>
      </c>
      <c r="B50" s="1" t="inlineStr">
        <is>
          <t>### Gaps</t>
        </is>
      </c>
      <c r="C50" s="1" t="n"/>
      <c r="D50" s="1" t="n"/>
      <c r="E50" s="1" t="n"/>
      <c r="F50" s="1" t="n"/>
      <c r="G50" s="1" t="n"/>
      <c r="H50" s="1" t="n"/>
      <c r="I50" s="1" t="n"/>
    </row>
    <row r="51" ht="36" customHeight="1">
      <c r="A51" s="1" t="inlineStr">
        <is>
          <t>scope-and-approach</t>
        </is>
      </c>
      <c r="B51" s="1" t="inlineStr">
        <is>
          <t>| Gap ID | Kind | Known obligation / source | Missing decision / proof | Impact / next check |</t>
        </is>
      </c>
      <c r="C51" s="1" t="n"/>
      <c r="D51" s="1" t="n"/>
      <c r="E51" s="1" t="n"/>
      <c r="F51" s="1" t="n"/>
      <c r="G51" s="1" t="n"/>
      <c r="H51" s="1" t="n"/>
      <c r="I51" s="1" t="n"/>
    </row>
    <row r="52" ht="36" customHeight="1">
      <c r="A52" s="1" t="inlineStr">
        <is>
          <t>scope-and-approach</t>
        </is>
      </c>
      <c r="B52" s="1" t="inlineStr">
        <is>
          <t>| --- | --- | --- | --- | --- |</t>
        </is>
      </c>
      <c r="C52" s="1" t="n"/>
      <c r="D52" s="1" t="n"/>
      <c r="E52" s="1" t="n"/>
      <c r="F52" s="1" t="n"/>
      <c r="G52" s="1" t="n"/>
      <c r="H52" s="1" t="n"/>
      <c r="I52" s="1" t="n"/>
    </row>
    <row r="53" ht="39" customHeight="1">
      <c r="A53" s="1" t="inlineStr">
        <is>
          <t>scope-and-approach</t>
        </is>
      </c>
      <c r="B53" s="1" t="inlineStr">
        <is>
          <t>| G-ROUND | business | C7 subtraction rounding | Q3 awaiting decision | Obtain authorized oracle before case design |</t>
        </is>
      </c>
      <c r="C53" s="1" t="n"/>
      <c r="D53" s="1" t="n"/>
      <c r="E53" s="1" t="n"/>
      <c r="F53" s="1" t="n"/>
      <c r="G53" s="1" t="n"/>
      <c r="H53" s="1" t="n"/>
      <c r="I53" s="1" t="n"/>
    </row>
    <row r="54" ht="52" customHeight="1">
      <c r="A54" s="1" t="inlineStr">
        <is>
          <t>scope-and-approach</t>
        </is>
      </c>
      <c r="B54" s="1" t="inlineStr">
        <is>
          <t>| G-PREP | preparation | C8 source missing error/preservation | No missing-source fixture seam | TC-06 Blocked; verify preparation capability |</t>
        </is>
      </c>
      <c r="C54" s="1" t="n"/>
      <c r="D54" s="1" t="n"/>
      <c r="E54" s="1" t="n"/>
      <c r="F54" s="1" t="n"/>
      <c r="G54" s="1" t="n"/>
      <c r="H54" s="1" t="n"/>
      <c r="I54" s="1" t="n"/>
    </row>
  </sheetData>
  <autoFilter ref="A7:I54"/>
  <hyperlinks>
    <hyperlink xmlns:r="http://schemas.openxmlformats.org/officeDocument/2006/relationships" ref="A1" r:id="rId1"/>
    <hyperlink xmlns:r="http://schemas.openxmlformats.org/officeDocument/2006/relationships" ref="B1" r:id="rId2"/>
    <hyperlink xmlns:r="http://schemas.openxmlformats.org/officeDocument/2006/relationships" ref="C1" r:id="rId3"/>
  </hyperlink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2026-10-02T05:29:49Z</dcterms:created>
  <dcterms:modified xmlns:dcterms="http://purl.org/dc/terms/" xmlns:xsi="http://www.w3.org/2001/XMLSchema-instance" xsi:type="dcterms:W3CDTF">2026-10-02T05:45:20Z</dcterms:modified>
</cp:coreProperties>
</file>

<file path=docProps/custom.xml><?xml version="1.0" encoding="utf-8"?>
<Properties xmlns="http://schemas.openxmlformats.org/officeDocument/2006/custom-properties">
  <property name="TemplateFamily" fmtid="{D5CDD505-2E9C-101B-9397-08002B2CF9AE}" pid="2">
    <vt:lpwstr xmlns:vt="http://schemas.openxmlformats.org/officeDocument/2006/docPropsVTypes">test-case-report</vt:lpwstr>
  </property>
  <property name="TemplateVersion" fmtid="{D5CDD505-2E9C-101B-9397-08002B2CF9AE}" pid="3">
    <vt:lpwstr xmlns:vt="http://schemas.openxmlformats.org/officeDocument/2006/docPropsVTypes">1.0.0</vt:lpwstr>
  </property>
  <property name="Language" fmtid="{D5CDD505-2E9C-101B-9397-08002B2CF9AE}" pid="4">
    <vt:lpwstr xmlns:vt="http://schemas.openxmlformats.org/officeDocument/2006/docPropsVTypes">vi</vt:lpwstr>
  </property>
</Properties>
</file>